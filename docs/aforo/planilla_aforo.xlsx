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cuments\tesis\docs\aforo\"/>
    </mc:Choice>
  </mc:AlternateContent>
  <xr:revisionPtr revIDLastSave="0" documentId="13_ncr:1_{F150587B-1A36-40F6-A73B-46AFC760F3B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foro" sheetId="2" r:id="rId2"/>
    <sheet name="Semaforo" sheetId="3" r:id="rId3"/>
    <sheet name="Resumen" sheetId="4" r:id="rId4"/>
    <sheet name="Hoja_camp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4" l="1"/>
  <c r="C10" i="4"/>
  <c r="C9" i="4"/>
  <c r="C8" i="4"/>
  <c r="D7" i="4"/>
  <c r="G7" i="4" s="1"/>
  <c r="C7" i="4"/>
  <c r="C6" i="4"/>
  <c r="D5" i="4"/>
  <c r="I5" i="4" s="1"/>
  <c r="C5" i="4"/>
  <c r="C4" i="4"/>
  <c r="F22" i="3"/>
  <c r="E22" i="3"/>
  <c r="D22" i="3"/>
  <c r="C22" i="3"/>
  <c r="B22" i="3"/>
  <c r="F21" i="3"/>
  <c r="E21" i="3"/>
  <c r="D21" i="3"/>
  <c r="C21" i="3"/>
  <c r="B21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D6" i="4" s="1"/>
  <c r="H6" i="4" s="1"/>
  <c r="P17" i="2"/>
  <c r="P16" i="2"/>
  <c r="P15" i="2"/>
  <c r="P14" i="2"/>
  <c r="P13" i="2"/>
  <c r="P12" i="2"/>
  <c r="P11" i="2"/>
  <c r="P10" i="2"/>
  <c r="P9" i="2"/>
  <c r="D11" i="4" s="1"/>
  <c r="P8" i="2"/>
  <c r="D9" i="4" s="1"/>
  <c r="P7" i="2"/>
  <c r="P6" i="2"/>
  <c r="P5" i="2"/>
  <c r="D10" i="4" s="1"/>
  <c r="P4" i="2"/>
  <c r="D8" i="4" s="1"/>
  <c r="P3" i="2"/>
  <c r="D4" i="4" s="1"/>
  <c r="P2" i="2"/>
  <c r="E7" i="4" l="1"/>
  <c r="E6" i="4"/>
  <c r="K11" i="4"/>
  <c r="J11" i="4"/>
  <c r="I11" i="4"/>
  <c r="H11" i="4"/>
  <c r="G11" i="4"/>
  <c r="F11" i="4"/>
  <c r="E9" i="4"/>
  <c r="K9" i="4"/>
  <c r="J9" i="4"/>
  <c r="I9" i="4"/>
  <c r="H9" i="4"/>
  <c r="G9" i="4"/>
  <c r="F9" i="4"/>
  <c r="J4" i="4"/>
  <c r="F4" i="4"/>
  <c r="I4" i="4"/>
  <c r="H4" i="4"/>
  <c r="G4" i="4"/>
  <c r="E4" i="4"/>
  <c r="K4" i="4"/>
  <c r="E8" i="4"/>
  <c r="F8" i="4"/>
  <c r="K8" i="4"/>
  <c r="J8" i="4"/>
  <c r="I8" i="4"/>
  <c r="H8" i="4"/>
  <c r="G8" i="4"/>
  <c r="K10" i="4"/>
  <c r="J10" i="4"/>
  <c r="I10" i="4"/>
  <c r="H10" i="4"/>
  <c r="G10" i="4"/>
  <c r="F10" i="4"/>
  <c r="E10" i="4"/>
  <c r="E11" i="4"/>
  <c r="J5" i="4"/>
  <c r="I6" i="4"/>
  <c r="H7" i="4"/>
  <c r="K5" i="4"/>
  <c r="J6" i="4"/>
  <c r="I7" i="4"/>
  <c r="K6" i="4"/>
  <c r="J7" i="4"/>
  <c r="K7" i="4"/>
  <c r="F5" i="4"/>
  <c r="G5" i="4"/>
  <c r="F6" i="4"/>
  <c r="E5" i="4"/>
  <c r="H5" i="4"/>
  <c r="G6" i="4"/>
  <c r="F7" i="4"/>
</calcChain>
</file>

<file path=xl/sharedStrings.xml><?xml version="1.0" encoding="utf-8"?>
<sst xmlns="http://schemas.openxmlformats.org/spreadsheetml/2006/main" count="201" uniqueCount="98">
  <si>
    <t>Planilla de aforo vehicular — Carrera 23 con Diagonal 15, Acacías (Meta)</t>
  </si>
  <si>
    <t>Proyecto de grado: sistema de semaforización inteligente. Los datos alimentan los escenarios de simulación en SUMO.</t>
  </si>
  <si>
    <t>¿Qué se mide?</t>
  </si>
  <si>
    <t>1. Cuántos vehículos llegan al cruce por cada brazo, de qué tipo son y hacia dónde giran (hoja «Aforo»).</t>
  </si>
  <si>
    <t>2. Cuánto duran el verde, el amarillo y el rojo del semáforo actual (hoja «Semaforo»).</t>
  </si>
  <si>
    <t>Reglas de conteo</t>
  </si>
  <si>
    <t>• El BRAZO es por donde LLEGA el vehículo al cruce (no por donde sale). Cada brazo dice también hacia dónde va el tráfico que lo usa.</t>
  </si>
  <si>
    <t>• Carrera 23: quien va de Acacías hacia Villavicencio llega por el brazo SUR; quien va de Villavicencio hacia Acacías llega por el NORTE (lado del puente).</t>
  </si>
  <si>
    <t>• Diagonal 15: quien va hacia el hospital llega por el brazo ESTE; quien va hacia el centro llega por el OESTE.</t>
  </si>
  <si>
    <t>• Se cuenta cada vehículo una sola vez, cuando cruza la línea de pare.</t>
  </si>
  <si>
    <t>• Giro: Recto o Derecha, desde el punto de vista del conductor que llega. En este cruce el giro a la IZQUIERDA está prohibido en los 4 brazos.</t>
  </si>
  <si>
    <t>• Si se observa un giro a la izquierda (infracción), NO se cuenta en la tabla: se anota en «Observaciones» cuántos hubo.</t>
  </si>
  <si>
    <t>• Tipos: Carro (automóvil, camioneta, taxi) · Moto · Bus (bus, buseta, microbús) · Camión (camión, volqueta, tractocamión).</t>
  </si>
  <si>
    <t>• Bicicletas y peatones no se cuentan (anotar en Observaciones si son muchos).</t>
  </si>
  <si>
    <t>• Intervalos de 15 minutos. Mínimo: 15 min por brazo en hora PICO y 15 min en hora VALLE.</t>
  </si>
  <si>
    <t>• Anotar la hora real de inicio y fin; si hubo una interrupción, ajustar la columna «Duración (min)».</t>
  </si>
  <si>
    <t>Recomendación: grabar video</t>
  </si>
  <si>
    <t>• Si es posible, grabar con el celular desde un punto alto y fijo y contar después desde el video (se puede repetir el conteo y verificar).</t>
  </si>
  <si>
    <t>• El video sirve además para probar YOLO con tráfico real en la Fase 7.</t>
  </si>
  <si>
    <t>• Protección de datos (Ley 1581 de 2012): evitar enfocar rostros y placas; el video NO se publica en el repositorio.</t>
  </si>
  <si>
    <t>Cómo llenar el archivo</t>
  </si>
  <si>
    <t>• Celdas amarillas = las que se llenan. Celdas grises = fórmulas automáticas (no editar).</t>
  </si>
  <si>
    <t>• Hoja «Hoja_campo»: versión para IMPRIMIR y marcar con palitos en el sitio; luego se pasan los totales a «Aforo».</t>
  </si>
  <si>
    <t>• La hoja «Resumen» calcula automáticamente vehículos/hora, % por tipo y % por giro para cada brazo y periodo.</t>
  </si>
  <si>
    <t>Ejemplo de una fila llenada (solo formato; NO son datos reales)</t>
  </si>
  <si>
    <t>Fecha: 2026-10-12 | Día: Lunes | Brazo: Sur - Cra 23 (de Acacías hacia Villavicencio) | Periodo: Pico | Inicio: 07:00 | Fin: 07:15 | Duración: 15 | Carro Recto 21, Der 4 | Moto Recto 30, Der 5 | Bus Recto 1 | Camión Recto 2</t>
  </si>
  <si>
    <t>Fecha</t>
  </si>
  <si>
    <t>Día</t>
  </si>
  <si>
    <t>Brazo (llegada)</t>
  </si>
  <si>
    <t>Periodo</t>
  </si>
  <si>
    <t>Hora inicio</t>
  </si>
  <si>
    <t>Hora fin</t>
  </si>
  <si>
    <t>Duración (min)</t>
  </si>
  <si>
    <t>Carro Recto</t>
  </si>
  <si>
    <t>Carro Der</t>
  </si>
  <si>
    <t>Moto Recto</t>
  </si>
  <si>
    <t>Moto Der</t>
  </si>
  <si>
    <t>Bus Recto</t>
  </si>
  <si>
    <t>Bus Der</t>
  </si>
  <si>
    <t>Camión Recto</t>
  </si>
  <si>
    <t>Camión Der</t>
  </si>
  <si>
    <t>Total</t>
  </si>
  <si>
    <t>Observaciones</t>
  </si>
  <si>
    <t>Viernes</t>
  </si>
  <si>
    <t>Sur - Cra 23 (de Acacías hacia Villavicencio)</t>
  </si>
  <si>
    <t>Pico</t>
  </si>
  <si>
    <t>muchos infracciones por motos y carros</t>
  </si>
  <si>
    <t>Norte - Cra 23 (de Villavicencio hacia Acacías)</t>
  </si>
  <si>
    <t>infracciones por motos y carros</t>
  </si>
  <si>
    <t>Este - Dg 15 (hacia el hospital)</t>
  </si>
  <si>
    <t>Oeste - Dg 15 (hacia el centro)</t>
  </si>
  <si>
    <t>Lunes</t>
  </si>
  <si>
    <t>Valle</t>
  </si>
  <si>
    <t>muchas infracciones</t>
  </si>
  <si>
    <t>Martes</t>
  </si>
  <si>
    <t>Hora</t>
  </si>
  <si>
    <t>Ciclo #</t>
  </si>
  <si>
    <t>Vía</t>
  </si>
  <si>
    <t>Verde (s)</t>
  </si>
  <si>
    <t>Amarillo (s)</t>
  </si>
  <si>
    <t>Rojo (s)</t>
  </si>
  <si>
    <t>Todo-rojo (s)</t>
  </si>
  <si>
    <t>¿Fase o flecha adicional? (Sí/No; describir en Observaciones)</t>
  </si>
  <si>
    <t>Duración del ciclo (s)</t>
  </si>
  <si>
    <t>Carrera 23</t>
  </si>
  <si>
    <t>Diagonal 15</t>
  </si>
  <si>
    <t>Promedios por vía (fórmulas)</t>
  </si>
  <si>
    <t>Ciclos medidos</t>
  </si>
  <si>
    <t>Medir 3–4 ciclos completos por vía con cronómetro. Un ciclo = desde que empieza el verde hasta que vuelve a empezar.</t>
  </si>
  <si>
    <t>Resumen automático por brazo y periodo (no editar: todo son fórmulas)</t>
  </si>
  <si>
    <t>Brazo</t>
  </si>
  <si>
    <t>Minutos contados</t>
  </si>
  <si>
    <t>Vehículos contados</t>
  </si>
  <si>
    <t>Vehículos/hora</t>
  </si>
  <si>
    <t>% Carro</t>
  </si>
  <si>
    <t>% Moto</t>
  </si>
  <si>
    <t>% Bus</t>
  </si>
  <si>
    <t>% Camión</t>
  </si>
  <si>
    <t>% Recto</t>
  </si>
  <si>
    <t>% Der</t>
  </si>
  <si>
    <t>Vehículos/hora = vehículos contados ÷ minutos contados × 60. Los % se calculan sobre el total del brazo y periodo.</t>
  </si>
  <si>
    <t>HOJA DE CAMPO — Aforo Cra 23 × Dg 15, Acacías (marcar con palitos: ||||)</t>
  </si>
  <si>
    <t>Fecha:</t>
  </si>
  <si>
    <t>Brazo de llegada:</t>
  </si>
  <si>
    <t>Periodo (Pico/Valle):</t>
  </si>
  <si>
    <t>Hora inicio:</t>
  </si>
  <si>
    <t>Hora fin:</t>
  </si>
  <si>
    <t>Contador(a):</t>
  </si>
  <si>
    <t>Tipo \ Giro</t>
  </si>
  <si>
    <t>Recto</t>
  </si>
  <si>
    <t>Derecha</t>
  </si>
  <si>
    <t>Carro</t>
  </si>
  <si>
    <t>Moto</t>
  </si>
  <si>
    <t>Bus</t>
  </si>
  <si>
    <t>Camión</t>
  </si>
  <si>
    <t>Observaciones (giros a la izq. observados, etc.):</t>
  </si>
  <si>
    <t>Brazo = por donde LLEGA el vehículo. Contar al cruzar la línea de pare. Giro a la izquierda prohibido: si alguien lo hace, anotarlo en Observaciones. Una hoja por brazo y periodo.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</si>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</sst>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"/>
    <numFmt numFmtId="166" formatCode="0.0"/>
    <numFmt numFmtId="167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0" borderId="2" xfId="0" applyBorder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/>
    <xf numFmtId="0" fontId="6" fillId="0" borderId="1" xfId="0" applyFont="1" applyBorder="1"/>
    <xf numFmtId="166" fontId="2" fillId="4" borderId="1" xfId="0" applyNumberFormat="1" applyFont="1" applyFill="1" applyBorder="1"/>
    <xf numFmtId="0" fontId="2" fillId="4" borderId="1" xfId="0" applyFont="1" applyFill="1" applyBorder="1"/>
    <xf numFmtId="0" fontId="7" fillId="0" borderId="0" xfId="0" applyFont="1"/>
    <xf numFmtId="0" fontId="8" fillId="0" borderId="0" xfId="0" applyFont="1"/>
    <xf numFmtId="1" fontId="2" fillId="4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9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/>
  </sheetViews>
  <sheetFormatPr baseColWidth="10" defaultColWidth="8.6640625" defaultRowHeight="14.4" x14ac:dyDescent="0.3"/>
  <cols>
    <col min="1" max="1" width="110" customWidth="1"/>
  </cols>
  <sheetData>
    <row r="1" spans="1:1" ht="17.25" customHeight="1" x14ac:dyDescent="0.3">
      <c r="A1" s="3" t="s">
        <v>0</v>
      </c>
    </row>
    <row r="2" spans="1:1" ht="15" customHeight="1" x14ac:dyDescent="0.3">
      <c r="A2" s="4" t="s">
        <v>1</v>
      </c>
    </row>
    <row r="3" spans="1:1" ht="15" customHeight="1" x14ac:dyDescent="0.3">
      <c r="A3" s="4"/>
    </row>
    <row r="4" spans="1:1" ht="15" customHeight="1" x14ac:dyDescent="0.3">
      <c r="A4" s="5" t="s">
        <v>2</v>
      </c>
    </row>
    <row r="5" spans="1:1" ht="15" customHeight="1" x14ac:dyDescent="0.3">
      <c r="A5" s="4" t="s">
        <v>3</v>
      </c>
    </row>
    <row r="6" spans="1:1" ht="15" customHeight="1" x14ac:dyDescent="0.3">
      <c r="A6" s="4" t="s">
        <v>4</v>
      </c>
    </row>
    <row r="7" spans="1:1" ht="15" customHeight="1" x14ac:dyDescent="0.3">
      <c r="A7" s="4"/>
    </row>
    <row r="8" spans="1:1" ht="15" customHeight="1" x14ac:dyDescent="0.3">
      <c r="A8" s="5" t="s">
        <v>5</v>
      </c>
    </row>
    <row r="9" spans="1:1" ht="23.25" customHeight="1" x14ac:dyDescent="0.3">
      <c r="A9" s="4" t="s">
        <v>6</v>
      </c>
    </row>
    <row r="10" spans="1:1" ht="23.25" customHeight="1" x14ac:dyDescent="0.3">
      <c r="A10" s="4" t="s">
        <v>7</v>
      </c>
    </row>
    <row r="11" spans="1:1" ht="15" customHeight="1" x14ac:dyDescent="0.3">
      <c r="A11" s="4" t="s">
        <v>8</v>
      </c>
    </row>
    <row r="12" spans="1:1" ht="15" customHeight="1" x14ac:dyDescent="0.3">
      <c r="A12" s="4" t="s">
        <v>9</v>
      </c>
    </row>
    <row r="13" spans="1:1" ht="23.25" customHeight="1" x14ac:dyDescent="0.3">
      <c r="A13" s="4" t="s">
        <v>10</v>
      </c>
    </row>
    <row r="14" spans="1:1" ht="15" customHeight="1" x14ac:dyDescent="0.3">
      <c r="A14" s="4" t="s">
        <v>11</v>
      </c>
    </row>
    <row r="15" spans="1:1" ht="15" customHeight="1" x14ac:dyDescent="0.3">
      <c r="A15" s="4" t="s">
        <v>12</v>
      </c>
    </row>
    <row r="16" spans="1:1" ht="15" customHeight="1" x14ac:dyDescent="0.3">
      <c r="A16" s="4" t="s">
        <v>13</v>
      </c>
    </row>
    <row r="17" spans="1:1" ht="15" customHeight="1" x14ac:dyDescent="0.3">
      <c r="A17" s="4" t="s">
        <v>14</v>
      </c>
    </row>
    <row r="18" spans="1:1" ht="15" customHeight="1" x14ac:dyDescent="0.3">
      <c r="A18" s="4" t="s">
        <v>15</v>
      </c>
    </row>
    <row r="19" spans="1:1" ht="15" customHeight="1" x14ac:dyDescent="0.3">
      <c r="A19" s="4"/>
    </row>
    <row r="20" spans="1:1" ht="15" customHeight="1" x14ac:dyDescent="0.3">
      <c r="A20" s="5" t="s">
        <v>16</v>
      </c>
    </row>
    <row r="21" spans="1:1" ht="15" customHeight="1" x14ac:dyDescent="0.3">
      <c r="A21" s="4" t="s">
        <v>17</v>
      </c>
    </row>
    <row r="22" spans="1:1" ht="15" customHeight="1" x14ac:dyDescent="0.3">
      <c r="A22" s="4" t="s">
        <v>18</v>
      </c>
    </row>
    <row r="23" spans="1:1" ht="15" customHeight="1" x14ac:dyDescent="0.3">
      <c r="A23" s="4" t="s">
        <v>19</v>
      </c>
    </row>
    <row r="24" spans="1:1" ht="15" customHeight="1" x14ac:dyDescent="0.3">
      <c r="A24" s="4"/>
    </row>
    <row r="25" spans="1:1" ht="15" customHeight="1" x14ac:dyDescent="0.3">
      <c r="A25" s="5" t="s">
        <v>20</v>
      </c>
    </row>
    <row r="26" spans="1:1" ht="15" customHeight="1" x14ac:dyDescent="0.3">
      <c r="A26" s="4" t="s">
        <v>21</v>
      </c>
    </row>
    <row r="27" spans="1:1" ht="15" customHeight="1" x14ac:dyDescent="0.3">
      <c r="A27" s="4" t="s">
        <v>22</v>
      </c>
    </row>
    <row r="28" spans="1:1" ht="15" customHeight="1" x14ac:dyDescent="0.3">
      <c r="A28" s="4" t="s">
        <v>23</v>
      </c>
    </row>
    <row r="29" spans="1:1" ht="15" customHeight="1" x14ac:dyDescent="0.3">
      <c r="A29" s="4"/>
    </row>
    <row r="30" spans="1:1" ht="15" customHeight="1" x14ac:dyDescent="0.3">
      <c r="A30" s="5" t="s">
        <v>24</v>
      </c>
    </row>
    <row r="31" spans="1:1" ht="15" customHeight="1" x14ac:dyDescent="0.3">
      <c r="A31" s="6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tabSelected="1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18" sqref="A18:A21"/>
    </sheetView>
  </sheetViews>
  <sheetFormatPr baseColWidth="10" defaultColWidth="8.6640625" defaultRowHeight="14.4" x14ac:dyDescent="0.3"/>
  <cols>
    <col min="1" max="1" width="12" customWidth="1"/>
    <col min="2" max="2" width="11" customWidth="1"/>
    <col min="3" max="3" width="30" customWidth="1"/>
    <col min="4" max="7" width="10" customWidth="1"/>
    <col min="8" max="15" width="9" customWidth="1"/>
    <col min="16" max="16" width="8" customWidth="1"/>
    <col min="17" max="17" width="40" customWidth="1"/>
  </cols>
  <sheetData>
    <row r="1" spans="1:17" ht="31.5" customHeight="1" x14ac:dyDescent="0.3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</row>
    <row r="2" spans="1:17" ht="15" customHeight="1" x14ac:dyDescent="0.3">
      <c r="A2" s="8">
        <v>46311</v>
      </c>
      <c r="B2" s="9" t="s">
        <v>43</v>
      </c>
      <c r="C2" s="9" t="s">
        <v>44</v>
      </c>
      <c r="D2" s="9" t="s">
        <v>45</v>
      </c>
      <c r="E2" s="10">
        <v>0.75</v>
      </c>
      <c r="F2" s="10">
        <v>0.76041666666666696</v>
      </c>
      <c r="G2" s="9">
        <v>15</v>
      </c>
      <c r="H2" s="9">
        <v>119</v>
      </c>
      <c r="I2" s="9">
        <v>3</v>
      </c>
      <c r="J2" s="9">
        <v>186</v>
      </c>
      <c r="K2" s="9">
        <v>6</v>
      </c>
      <c r="L2" s="9">
        <v>33</v>
      </c>
      <c r="M2" s="9">
        <v>0</v>
      </c>
      <c r="N2" s="9">
        <v>31</v>
      </c>
      <c r="O2" s="9">
        <v>0</v>
      </c>
      <c r="P2" s="11">
        <f t="shared" ref="P2:P41" si="0">IF(COUNT(H2:O2)=0,"",SUM(H2:O2))</f>
        <v>378</v>
      </c>
      <c r="Q2" s="12" t="s">
        <v>46</v>
      </c>
    </row>
    <row r="3" spans="1:17" ht="15" customHeight="1" x14ac:dyDescent="0.3">
      <c r="A3" s="8">
        <v>46311</v>
      </c>
      <c r="B3" s="9" t="s">
        <v>43</v>
      </c>
      <c r="C3" s="9" t="s">
        <v>47</v>
      </c>
      <c r="D3" s="9" t="s">
        <v>45</v>
      </c>
      <c r="E3" s="10">
        <v>0.76041666666666696</v>
      </c>
      <c r="F3" s="10">
        <v>0.77083333333333304</v>
      </c>
      <c r="G3" s="9">
        <v>15</v>
      </c>
      <c r="H3" s="9">
        <v>107</v>
      </c>
      <c r="I3" s="9">
        <v>5</v>
      </c>
      <c r="J3" s="9">
        <v>155</v>
      </c>
      <c r="K3" s="9">
        <v>49</v>
      </c>
      <c r="L3" s="9">
        <v>17</v>
      </c>
      <c r="M3" s="9">
        <v>0</v>
      </c>
      <c r="N3" s="9">
        <v>26</v>
      </c>
      <c r="O3" s="9">
        <v>0</v>
      </c>
      <c r="P3" s="11">
        <f t="shared" si="0"/>
        <v>359</v>
      </c>
      <c r="Q3" s="12" t="s">
        <v>48</v>
      </c>
    </row>
    <row r="4" spans="1:17" ht="15" customHeight="1" x14ac:dyDescent="0.3">
      <c r="A4" s="8">
        <v>46311</v>
      </c>
      <c r="B4" s="9" t="s">
        <v>43</v>
      </c>
      <c r="C4" s="9" t="s">
        <v>49</v>
      </c>
      <c r="D4" s="9" t="s">
        <v>45</v>
      </c>
      <c r="E4" s="10">
        <v>0.77083333333333304</v>
      </c>
      <c r="F4" s="10">
        <v>0.78125</v>
      </c>
      <c r="G4" s="9">
        <v>15</v>
      </c>
      <c r="H4" s="9">
        <v>29</v>
      </c>
      <c r="I4" s="9">
        <v>1</v>
      </c>
      <c r="J4" s="9">
        <v>77</v>
      </c>
      <c r="K4" s="9">
        <v>4</v>
      </c>
      <c r="L4" s="9">
        <v>4</v>
      </c>
      <c r="M4" s="9">
        <v>0</v>
      </c>
      <c r="N4" s="9">
        <v>0</v>
      </c>
      <c r="O4" s="9">
        <v>0</v>
      </c>
      <c r="P4" s="11">
        <f t="shared" si="0"/>
        <v>115</v>
      </c>
      <c r="Q4" s="12" t="s">
        <v>48</v>
      </c>
    </row>
    <row r="5" spans="1:17" ht="15" customHeight="1" x14ac:dyDescent="0.3">
      <c r="A5" s="8">
        <v>46311</v>
      </c>
      <c r="B5" s="9" t="s">
        <v>43</v>
      </c>
      <c r="C5" s="9" t="s">
        <v>50</v>
      </c>
      <c r="D5" s="9" t="s">
        <v>45</v>
      </c>
      <c r="E5" s="10">
        <v>0.78125</v>
      </c>
      <c r="F5" s="10">
        <v>0.79166666666666696</v>
      </c>
      <c r="G5" s="9">
        <v>15</v>
      </c>
      <c r="H5" s="9">
        <v>45</v>
      </c>
      <c r="I5" s="9">
        <v>5</v>
      </c>
      <c r="J5" s="9">
        <v>95</v>
      </c>
      <c r="K5" s="9">
        <v>23</v>
      </c>
      <c r="L5" s="9">
        <v>2</v>
      </c>
      <c r="M5" s="9">
        <v>0</v>
      </c>
      <c r="N5" s="9">
        <v>0</v>
      </c>
      <c r="O5" s="9">
        <v>0</v>
      </c>
      <c r="P5" s="11">
        <f t="shared" si="0"/>
        <v>170</v>
      </c>
      <c r="Q5" s="12" t="s">
        <v>48</v>
      </c>
    </row>
    <row r="6" spans="1:17" ht="15" customHeight="1" x14ac:dyDescent="0.3">
      <c r="A6" s="8">
        <v>46314</v>
      </c>
      <c r="B6" s="9" t="s">
        <v>51</v>
      </c>
      <c r="C6" s="9" t="s">
        <v>44</v>
      </c>
      <c r="D6" s="9" t="s">
        <v>52</v>
      </c>
      <c r="E6" s="10">
        <v>0.84375</v>
      </c>
      <c r="F6" s="10">
        <v>0.85416666666666696</v>
      </c>
      <c r="G6" s="9">
        <v>15</v>
      </c>
      <c r="H6" s="9">
        <v>44</v>
      </c>
      <c r="I6" s="9">
        <v>5</v>
      </c>
      <c r="J6" s="9">
        <v>91</v>
      </c>
      <c r="K6" s="9">
        <v>4</v>
      </c>
      <c r="L6" s="9">
        <v>5</v>
      </c>
      <c r="M6" s="9">
        <v>0</v>
      </c>
      <c r="N6" s="9">
        <v>25</v>
      </c>
      <c r="O6" s="9">
        <v>0</v>
      </c>
      <c r="P6" s="11">
        <f t="shared" si="0"/>
        <v>174</v>
      </c>
      <c r="Q6" s="12" t="s">
        <v>53</v>
      </c>
    </row>
    <row r="7" spans="1:17" ht="15" customHeight="1" x14ac:dyDescent="0.3">
      <c r="A7" s="8">
        <v>46314</v>
      </c>
      <c r="B7" s="9" t="s">
        <v>51</v>
      </c>
      <c r="C7" s="9" t="s">
        <v>47</v>
      </c>
      <c r="D7" s="9" t="s">
        <v>52</v>
      </c>
      <c r="E7" s="10">
        <v>0.85416666666666696</v>
      </c>
      <c r="F7" s="10">
        <v>0.86458333333333304</v>
      </c>
      <c r="G7" s="9">
        <v>15</v>
      </c>
      <c r="H7" s="9">
        <v>53</v>
      </c>
      <c r="I7" s="9">
        <v>5</v>
      </c>
      <c r="J7" s="9">
        <v>76</v>
      </c>
      <c r="K7" s="9">
        <v>35</v>
      </c>
      <c r="L7" s="9">
        <v>3</v>
      </c>
      <c r="M7" s="9">
        <v>0</v>
      </c>
      <c r="N7" s="9">
        <v>7</v>
      </c>
      <c r="O7" s="9">
        <v>0</v>
      </c>
      <c r="P7" s="11">
        <f t="shared" si="0"/>
        <v>179</v>
      </c>
      <c r="Q7" s="12" t="s">
        <v>53</v>
      </c>
    </row>
    <row r="8" spans="1:17" ht="15" customHeight="1" x14ac:dyDescent="0.3">
      <c r="A8" s="8">
        <v>46314</v>
      </c>
      <c r="B8" s="9" t="s">
        <v>51</v>
      </c>
      <c r="C8" s="9" t="s">
        <v>49</v>
      </c>
      <c r="D8" s="9" t="s">
        <v>52</v>
      </c>
      <c r="E8" s="10">
        <v>0.86458333333333304</v>
      </c>
      <c r="F8" s="10">
        <v>0.875</v>
      </c>
      <c r="G8" s="9">
        <v>15</v>
      </c>
      <c r="H8" s="9">
        <v>15</v>
      </c>
      <c r="I8" s="9">
        <v>5</v>
      </c>
      <c r="J8" s="9">
        <v>35</v>
      </c>
      <c r="K8" s="9">
        <v>14</v>
      </c>
      <c r="L8" s="9">
        <v>1</v>
      </c>
      <c r="M8" s="9">
        <v>0</v>
      </c>
      <c r="N8" s="9">
        <v>0</v>
      </c>
      <c r="O8" s="9">
        <v>0</v>
      </c>
      <c r="P8" s="11">
        <f t="shared" si="0"/>
        <v>70</v>
      </c>
      <c r="Q8" s="12" t="s">
        <v>53</v>
      </c>
    </row>
    <row r="9" spans="1:17" ht="15" customHeight="1" x14ac:dyDescent="0.3">
      <c r="A9" s="8">
        <v>46314</v>
      </c>
      <c r="B9" s="9" t="s">
        <v>51</v>
      </c>
      <c r="C9" s="9" t="s">
        <v>50</v>
      </c>
      <c r="D9" s="9" t="s">
        <v>52</v>
      </c>
      <c r="E9" s="10">
        <v>0.875</v>
      </c>
      <c r="F9" s="10">
        <v>0.88541666666666696</v>
      </c>
      <c r="G9" s="9">
        <v>15</v>
      </c>
      <c r="H9" s="9">
        <v>8</v>
      </c>
      <c r="I9" s="9">
        <v>2</v>
      </c>
      <c r="J9" s="9">
        <v>23</v>
      </c>
      <c r="K9" s="9">
        <v>5</v>
      </c>
      <c r="L9" s="9">
        <v>0</v>
      </c>
      <c r="M9" s="9">
        <v>0</v>
      </c>
      <c r="N9" s="9">
        <v>0</v>
      </c>
      <c r="O9" s="9">
        <v>0</v>
      </c>
      <c r="P9" s="11">
        <f t="shared" si="0"/>
        <v>38</v>
      </c>
      <c r="Q9" s="12" t="s">
        <v>53</v>
      </c>
    </row>
    <row r="10" spans="1:17" ht="15" customHeight="1" x14ac:dyDescent="0.3">
      <c r="A10" s="8">
        <v>46315</v>
      </c>
      <c r="B10" s="9" t="s">
        <v>54</v>
      </c>
      <c r="C10" s="9" t="s">
        <v>44</v>
      </c>
      <c r="D10" s="9" t="s">
        <v>52</v>
      </c>
      <c r="E10" s="10">
        <v>0.43402777777777801</v>
      </c>
      <c r="F10" s="10">
        <v>0.44444444444444398</v>
      </c>
      <c r="G10" s="9">
        <v>15</v>
      </c>
      <c r="H10" s="9">
        <v>82</v>
      </c>
      <c r="I10" s="9">
        <v>6</v>
      </c>
      <c r="J10" s="9">
        <v>88</v>
      </c>
      <c r="K10" s="9">
        <v>9</v>
      </c>
      <c r="L10" s="9">
        <v>7</v>
      </c>
      <c r="M10" s="9">
        <v>0</v>
      </c>
      <c r="N10" s="9">
        <v>37</v>
      </c>
      <c r="O10" s="9">
        <v>0</v>
      </c>
      <c r="P10" s="11">
        <f t="shared" si="0"/>
        <v>229</v>
      </c>
      <c r="Q10" s="12" t="s">
        <v>53</v>
      </c>
    </row>
    <row r="11" spans="1:17" ht="15" customHeight="1" x14ac:dyDescent="0.3">
      <c r="A11" s="8">
        <v>46315</v>
      </c>
      <c r="B11" s="9" t="s">
        <v>54</v>
      </c>
      <c r="C11" s="9" t="s">
        <v>47</v>
      </c>
      <c r="D11" s="9" t="s">
        <v>52</v>
      </c>
      <c r="E11" s="10">
        <v>0.43402777777777801</v>
      </c>
      <c r="F11" s="10">
        <v>0.44444444444444398</v>
      </c>
      <c r="G11" s="9">
        <v>15</v>
      </c>
      <c r="H11" s="9">
        <v>77</v>
      </c>
      <c r="I11" s="9">
        <v>12</v>
      </c>
      <c r="J11" s="9">
        <v>100</v>
      </c>
      <c r="K11" s="9">
        <v>25</v>
      </c>
      <c r="L11" s="9">
        <v>11</v>
      </c>
      <c r="M11" s="9">
        <v>0</v>
      </c>
      <c r="N11" s="9">
        <v>24</v>
      </c>
      <c r="O11" s="9">
        <v>0</v>
      </c>
      <c r="P11" s="11">
        <f t="shared" si="0"/>
        <v>249</v>
      </c>
      <c r="Q11" s="12" t="s">
        <v>53</v>
      </c>
    </row>
    <row r="12" spans="1:17" ht="15" customHeight="1" x14ac:dyDescent="0.3">
      <c r="A12" s="8">
        <v>46315</v>
      </c>
      <c r="B12" s="9" t="s">
        <v>54</v>
      </c>
      <c r="C12" s="9" t="s">
        <v>49</v>
      </c>
      <c r="D12" s="9" t="s">
        <v>52</v>
      </c>
      <c r="E12" s="10">
        <v>0.43402777777777801</v>
      </c>
      <c r="F12" s="10">
        <v>0.44444444444444398</v>
      </c>
      <c r="G12" s="9">
        <v>15</v>
      </c>
      <c r="H12" s="9">
        <v>34</v>
      </c>
      <c r="I12" s="9">
        <v>5</v>
      </c>
      <c r="J12" s="9">
        <v>68</v>
      </c>
      <c r="K12" s="9">
        <v>6</v>
      </c>
      <c r="L12" s="9">
        <v>3</v>
      </c>
      <c r="M12" s="9">
        <v>0</v>
      </c>
      <c r="N12" s="9">
        <v>2</v>
      </c>
      <c r="O12" s="9">
        <v>0</v>
      </c>
      <c r="P12" s="11">
        <f t="shared" si="0"/>
        <v>118</v>
      </c>
      <c r="Q12" s="12" t="s">
        <v>53</v>
      </c>
    </row>
    <row r="13" spans="1:17" ht="15" customHeight="1" x14ac:dyDescent="0.3">
      <c r="A13" s="8">
        <v>46315</v>
      </c>
      <c r="B13" s="9" t="s">
        <v>54</v>
      </c>
      <c r="C13" s="9" t="s">
        <v>50</v>
      </c>
      <c r="D13" s="9" t="s">
        <v>52</v>
      </c>
      <c r="E13" s="10">
        <v>0.43402777777777801</v>
      </c>
      <c r="F13" s="10">
        <v>0.44444444444444398</v>
      </c>
      <c r="G13" s="9">
        <v>15</v>
      </c>
      <c r="H13" s="9">
        <v>25</v>
      </c>
      <c r="I13" s="9">
        <v>9</v>
      </c>
      <c r="J13" s="9">
        <v>49</v>
      </c>
      <c r="K13" s="9">
        <v>5</v>
      </c>
      <c r="L13" s="9">
        <v>4</v>
      </c>
      <c r="M13" s="9">
        <v>0</v>
      </c>
      <c r="N13" s="9">
        <v>0</v>
      </c>
      <c r="O13" s="9">
        <v>0</v>
      </c>
      <c r="P13" s="11">
        <f t="shared" si="0"/>
        <v>92</v>
      </c>
      <c r="Q13" s="12" t="s">
        <v>53</v>
      </c>
    </row>
    <row r="14" spans="1:17" ht="15" customHeight="1" x14ac:dyDescent="0.3">
      <c r="A14" s="8">
        <v>46315</v>
      </c>
      <c r="B14" s="9" t="s">
        <v>54</v>
      </c>
      <c r="C14" s="9" t="s">
        <v>44</v>
      </c>
      <c r="D14" s="9" t="s">
        <v>45</v>
      </c>
      <c r="E14" s="10">
        <v>0.51041666666666696</v>
      </c>
      <c r="F14" s="10">
        <v>0.52083333333333304</v>
      </c>
      <c r="G14" s="9">
        <v>15</v>
      </c>
      <c r="H14" s="9">
        <v>82</v>
      </c>
      <c r="I14" s="9">
        <v>10</v>
      </c>
      <c r="J14" s="9">
        <v>131</v>
      </c>
      <c r="K14" s="9">
        <v>7</v>
      </c>
      <c r="L14" s="9">
        <v>8</v>
      </c>
      <c r="M14" s="9">
        <v>0</v>
      </c>
      <c r="N14" s="9">
        <v>17</v>
      </c>
      <c r="O14" s="9">
        <v>0</v>
      </c>
      <c r="P14" s="11">
        <f t="shared" si="0"/>
        <v>255</v>
      </c>
      <c r="Q14" s="12" t="s">
        <v>53</v>
      </c>
    </row>
    <row r="15" spans="1:17" ht="15" customHeight="1" x14ac:dyDescent="0.3">
      <c r="A15" s="8">
        <v>46315</v>
      </c>
      <c r="B15" s="9" t="s">
        <v>54</v>
      </c>
      <c r="C15" s="9" t="s">
        <v>47</v>
      </c>
      <c r="D15" s="9" t="s">
        <v>45</v>
      </c>
      <c r="E15" s="10">
        <v>0.51041666666666696</v>
      </c>
      <c r="F15" s="10">
        <v>0.52083333333333304</v>
      </c>
      <c r="G15" s="9">
        <v>15</v>
      </c>
      <c r="H15" s="9">
        <v>82</v>
      </c>
      <c r="I15" s="9">
        <v>11</v>
      </c>
      <c r="J15" s="9">
        <v>143</v>
      </c>
      <c r="K15" s="9">
        <v>55</v>
      </c>
      <c r="L15" s="9">
        <v>14</v>
      </c>
      <c r="M15" s="9">
        <v>0</v>
      </c>
      <c r="N15" s="9">
        <v>29</v>
      </c>
      <c r="O15" s="9">
        <v>0</v>
      </c>
      <c r="P15" s="11">
        <f t="shared" si="0"/>
        <v>334</v>
      </c>
      <c r="Q15" s="12" t="s">
        <v>53</v>
      </c>
    </row>
    <row r="16" spans="1:17" ht="15" customHeight="1" x14ac:dyDescent="0.3">
      <c r="A16" s="8">
        <v>46315</v>
      </c>
      <c r="B16" s="9" t="s">
        <v>54</v>
      </c>
      <c r="C16" s="9" t="s">
        <v>49</v>
      </c>
      <c r="D16" s="9" t="s">
        <v>45</v>
      </c>
      <c r="E16" s="10">
        <v>0.51041666666666696</v>
      </c>
      <c r="F16" s="10">
        <v>0.52083333333333304</v>
      </c>
      <c r="G16" s="9">
        <v>15</v>
      </c>
      <c r="H16" s="9">
        <v>43</v>
      </c>
      <c r="I16" s="9">
        <v>16</v>
      </c>
      <c r="J16" s="9">
        <v>104</v>
      </c>
      <c r="K16" s="9">
        <v>7</v>
      </c>
      <c r="L16" s="9">
        <v>1</v>
      </c>
      <c r="M16" s="9">
        <v>1</v>
      </c>
      <c r="N16" s="9">
        <v>0</v>
      </c>
      <c r="O16" s="9">
        <v>2</v>
      </c>
      <c r="P16" s="11">
        <f t="shared" si="0"/>
        <v>174</v>
      </c>
      <c r="Q16" s="12" t="s">
        <v>53</v>
      </c>
    </row>
    <row r="17" spans="1:17" ht="15" customHeight="1" x14ac:dyDescent="0.3">
      <c r="A17" s="8">
        <v>46315</v>
      </c>
      <c r="B17" s="9" t="s">
        <v>54</v>
      </c>
      <c r="C17" s="9" t="s">
        <v>50</v>
      </c>
      <c r="D17" s="9" t="s">
        <v>45</v>
      </c>
      <c r="E17" s="10">
        <v>0.51041666666666696</v>
      </c>
      <c r="F17" s="10">
        <v>0.52083333333333304</v>
      </c>
      <c r="G17" s="9">
        <v>15</v>
      </c>
      <c r="H17" s="9">
        <v>16</v>
      </c>
      <c r="I17" s="9">
        <v>9</v>
      </c>
      <c r="J17" s="9">
        <v>62</v>
      </c>
      <c r="K17" s="9">
        <v>11</v>
      </c>
      <c r="L17" s="9">
        <v>2</v>
      </c>
      <c r="M17" s="9">
        <v>0</v>
      </c>
      <c r="N17" s="9">
        <v>1</v>
      </c>
      <c r="O17" s="9">
        <v>0</v>
      </c>
      <c r="P17" s="11">
        <f t="shared" si="0"/>
        <v>101</v>
      </c>
      <c r="Q17" s="12" t="s">
        <v>53</v>
      </c>
    </row>
    <row r="18" spans="1:17" ht="15" customHeight="1" x14ac:dyDescent="0.3">
      <c r="A18" s="8">
        <v>46317</v>
      </c>
      <c r="B18" s="9" t="s">
        <v>97</v>
      </c>
      <c r="C18" s="9" t="s">
        <v>44</v>
      </c>
      <c r="D18" s="9" t="s">
        <v>45</v>
      </c>
      <c r="E18" s="10">
        <v>0.76041666666666663</v>
      </c>
      <c r="F18" s="10">
        <v>0.77083333333333337</v>
      </c>
      <c r="G18" s="9">
        <v>15</v>
      </c>
      <c r="H18" s="9">
        <v>113</v>
      </c>
      <c r="I18" s="9">
        <v>9</v>
      </c>
      <c r="J18" s="9">
        <v>174</v>
      </c>
      <c r="K18" s="9">
        <v>10</v>
      </c>
      <c r="L18" s="9">
        <v>10</v>
      </c>
      <c r="M18" s="9">
        <v>0</v>
      </c>
      <c r="N18" s="9">
        <v>25</v>
      </c>
      <c r="O18" s="9">
        <v>0</v>
      </c>
      <c r="P18" s="11">
        <f t="shared" si="0"/>
        <v>341</v>
      </c>
      <c r="Q18" s="12" t="s">
        <v>53</v>
      </c>
    </row>
    <row r="19" spans="1:17" ht="15" customHeight="1" x14ac:dyDescent="0.3">
      <c r="A19" s="8">
        <v>46317</v>
      </c>
      <c r="B19" s="9" t="s">
        <v>97</v>
      </c>
      <c r="C19" s="9" t="s">
        <v>47</v>
      </c>
      <c r="D19" s="9" t="s">
        <v>45</v>
      </c>
      <c r="E19" s="10">
        <v>0.76041666666666663</v>
      </c>
      <c r="F19" s="10">
        <v>0.77083333333333337</v>
      </c>
      <c r="G19" s="9">
        <v>15</v>
      </c>
      <c r="H19" s="9">
        <v>84</v>
      </c>
      <c r="I19" s="9">
        <v>9</v>
      </c>
      <c r="J19" s="9">
        <v>172</v>
      </c>
      <c r="K19" s="9">
        <v>37</v>
      </c>
      <c r="L19" s="9">
        <v>11</v>
      </c>
      <c r="M19" s="9">
        <v>0</v>
      </c>
      <c r="N19" s="9">
        <v>17</v>
      </c>
      <c r="O19" s="9">
        <v>0</v>
      </c>
      <c r="P19" s="11">
        <f t="shared" si="0"/>
        <v>330</v>
      </c>
      <c r="Q19" s="12" t="s">
        <v>53</v>
      </c>
    </row>
    <row r="20" spans="1:17" ht="15" customHeight="1" x14ac:dyDescent="0.3">
      <c r="A20" s="8">
        <v>46317</v>
      </c>
      <c r="B20" s="9" t="s">
        <v>97</v>
      </c>
      <c r="C20" s="9" t="s">
        <v>49</v>
      </c>
      <c r="D20" s="9" t="s">
        <v>45</v>
      </c>
      <c r="E20" s="10">
        <v>0.76041666666666696</v>
      </c>
      <c r="F20" s="10">
        <v>0.77083333333333304</v>
      </c>
      <c r="G20" s="9">
        <v>15</v>
      </c>
      <c r="H20" s="9">
        <v>52</v>
      </c>
      <c r="I20" s="9">
        <v>17</v>
      </c>
      <c r="J20" s="9">
        <v>126</v>
      </c>
      <c r="K20" s="9">
        <v>35</v>
      </c>
      <c r="L20" s="9">
        <v>1</v>
      </c>
      <c r="M20" s="9">
        <v>1</v>
      </c>
      <c r="N20" s="9">
        <v>4</v>
      </c>
      <c r="O20" s="9">
        <v>1</v>
      </c>
      <c r="P20" s="11">
        <f t="shared" si="0"/>
        <v>237</v>
      </c>
      <c r="Q20" s="12" t="s">
        <v>53</v>
      </c>
    </row>
    <row r="21" spans="1:17" ht="15" customHeight="1" x14ac:dyDescent="0.3">
      <c r="A21" s="8">
        <v>46317</v>
      </c>
      <c r="B21" s="9" t="s">
        <v>97</v>
      </c>
      <c r="C21" s="9" t="s">
        <v>50</v>
      </c>
      <c r="D21" s="9" t="s">
        <v>45</v>
      </c>
      <c r="E21" s="10">
        <v>0.76041666666666696</v>
      </c>
      <c r="F21" s="10">
        <v>0.77083333333333304</v>
      </c>
      <c r="G21" s="9">
        <v>15</v>
      </c>
      <c r="H21" s="9">
        <v>25</v>
      </c>
      <c r="I21" s="9">
        <v>7</v>
      </c>
      <c r="J21" s="9">
        <v>92</v>
      </c>
      <c r="K21" s="9">
        <v>11</v>
      </c>
      <c r="L21" s="9">
        <v>2</v>
      </c>
      <c r="M21" s="9">
        <v>0</v>
      </c>
      <c r="N21" s="9">
        <v>1</v>
      </c>
      <c r="O21" s="9">
        <v>0</v>
      </c>
      <c r="P21" s="11">
        <f t="shared" si="0"/>
        <v>138</v>
      </c>
      <c r="Q21" s="12" t="s">
        <v>53</v>
      </c>
    </row>
    <row r="22" spans="1:17" ht="15" customHeight="1" x14ac:dyDescent="0.3">
      <c r="A22" s="8"/>
      <c r="B22" s="9"/>
      <c r="C22" s="9"/>
      <c r="D22" s="9"/>
      <c r="E22" s="10"/>
      <c r="F22" s="10"/>
      <c r="G22" s="9">
        <v>15</v>
      </c>
      <c r="H22" s="9"/>
      <c r="I22" s="9"/>
      <c r="J22" s="9"/>
      <c r="K22" s="9"/>
      <c r="L22" s="9"/>
      <c r="M22" s="9"/>
      <c r="N22" s="9"/>
      <c r="O22" s="9"/>
      <c r="P22" s="11" t="str">
        <f t="shared" si="0"/>
        <v/>
      </c>
      <c r="Q22" s="12"/>
    </row>
    <row r="23" spans="1:17" ht="15" customHeight="1" x14ac:dyDescent="0.3">
      <c r="A23" s="8"/>
      <c r="B23" s="9"/>
      <c r="C23" s="9"/>
      <c r="D23" s="9"/>
      <c r="E23" s="10"/>
      <c r="F23" s="10"/>
      <c r="G23" s="9">
        <v>15</v>
      </c>
      <c r="H23" s="9"/>
      <c r="I23" s="9"/>
      <c r="J23" s="9"/>
      <c r="K23" s="9"/>
      <c r="L23" s="9"/>
      <c r="M23" s="9"/>
      <c r="N23" s="9"/>
      <c r="O23" s="9"/>
      <c r="P23" s="11" t="str">
        <f t="shared" si="0"/>
        <v/>
      </c>
      <c r="Q23" s="12"/>
    </row>
    <row r="24" spans="1:17" ht="15" customHeight="1" x14ac:dyDescent="0.3">
      <c r="A24" s="8"/>
      <c r="B24" s="9"/>
      <c r="C24" s="9"/>
      <c r="D24" s="9"/>
      <c r="E24" s="10"/>
      <c r="F24" s="10"/>
      <c r="G24" s="9">
        <v>15</v>
      </c>
      <c r="H24" s="9"/>
      <c r="I24" s="9"/>
      <c r="J24" s="9"/>
      <c r="K24" s="9"/>
      <c r="L24" s="9"/>
      <c r="M24" s="9"/>
      <c r="N24" s="9"/>
      <c r="O24" s="9"/>
      <c r="P24" s="11" t="str">
        <f t="shared" si="0"/>
        <v/>
      </c>
      <c r="Q24" s="12"/>
    </row>
    <row r="25" spans="1:17" ht="15" customHeight="1" x14ac:dyDescent="0.3">
      <c r="A25" s="8"/>
      <c r="B25" s="9"/>
      <c r="C25" s="9"/>
      <c r="D25" s="9"/>
      <c r="E25" s="10"/>
      <c r="F25" s="10"/>
      <c r="G25" s="9">
        <v>15</v>
      </c>
      <c r="H25" s="9"/>
      <c r="I25" s="9"/>
      <c r="J25" s="9"/>
      <c r="K25" s="9"/>
      <c r="L25" s="9"/>
      <c r="M25" s="9"/>
      <c r="N25" s="9"/>
      <c r="O25" s="9"/>
      <c r="P25" s="11" t="str">
        <f t="shared" si="0"/>
        <v/>
      </c>
      <c r="Q25" s="12"/>
    </row>
    <row r="26" spans="1:17" ht="15" customHeight="1" x14ac:dyDescent="0.3">
      <c r="A26" s="8"/>
      <c r="B26" s="9"/>
      <c r="C26" s="9"/>
      <c r="D26" s="9"/>
      <c r="E26" s="10"/>
      <c r="F26" s="10"/>
      <c r="G26" s="9">
        <v>15</v>
      </c>
      <c r="H26" s="9"/>
      <c r="I26" s="9"/>
      <c r="J26" s="9"/>
      <c r="K26" s="9"/>
      <c r="L26" s="9"/>
      <c r="M26" s="9"/>
      <c r="N26" s="9"/>
      <c r="O26" s="9"/>
      <c r="P26" s="11" t="str">
        <f t="shared" si="0"/>
        <v/>
      </c>
      <c r="Q26" s="12"/>
    </row>
    <row r="27" spans="1:17" ht="15" customHeight="1" x14ac:dyDescent="0.3">
      <c r="A27" s="8"/>
      <c r="B27" s="9"/>
      <c r="C27" s="9"/>
      <c r="D27" s="9"/>
      <c r="E27" s="10"/>
      <c r="F27" s="10"/>
      <c r="G27" s="9">
        <v>15</v>
      </c>
      <c r="H27" s="9"/>
      <c r="I27" s="9"/>
      <c r="J27" s="9"/>
      <c r="K27" s="9"/>
      <c r="L27" s="9"/>
      <c r="M27" s="9"/>
      <c r="N27" s="9"/>
      <c r="O27" s="9"/>
      <c r="P27" s="11" t="str">
        <f t="shared" si="0"/>
        <v/>
      </c>
      <c r="Q27" s="12"/>
    </row>
    <row r="28" spans="1:17" ht="15" customHeight="1" x14ac:dyDescent="0.3">
      <c r="A28" s="8"/>
      <c r="B28" s="9"/>
      <c r="C28" s="9"/>
      <c r="D28" s="9"/>
      <c r="E28" s="10"/>
      <c r="F28" s="10"/>
      <c r="G28" s="9">
        <v>15</v>
      </c>
      <c r="H28" s="9"/>
      <c r="I28" s="9"/>
      <c r="J28" s="9"/>
      <c r="K28" s="9"/>
      <c r="L28" s="9"/>
      <c r="M28" s="9"/>
      <c r="N28" s="9"/>
      <c r="O28" s="9"/>
      <c r="P28" s="11" t="str">
        <f t="shared" si="0"/>
        <v/>
      </c>
      <c r="Q28" s="12"/>
    </row>
    <row r="29" spans="1:17" ht="15" customHeight="1" x14ac:dyDescent="0.3">
      <c r="A29" s="8"/>
      <c r="B29" s="9"/>
      <c r="C29" s="9"/>
      <c r="D29" s="9"/>
      <c r="E29" s="10"/>
      <c r="F29" s="10"/>
      <c r="G29" s="9">
        <v>15</v>
      </c>
      <c r="H29" s="9"/>
      <c r="I29" s="9"/>
      <c r="J29" s="9"/>
      <c r="K29" s="9"/>
      <c r="L29" s="9"/>
      <c r="M29" s="9"/>
      <c r="N29" s="9"/>
      <c r="O29" s="9"/>
      <c r="P29" s="11" t="str">
        <f t="shared" si="0"/>
        <v/>
      </c>
      <c r="Q29" s="12"/>
    </row>
    <row r="30" spans="1:17" ht="15" customHeight="1" x14ac:dyDescent="0.3">
      <c r="A30" s="8"/>
      <c r="B30" s="9"/>
      <c r="C30" s="9"/>
      <c r="D30" s="9"/>
      <c r="E30" s="10"/>
      <c r="F30" s="10"/>
      <c r="G30" s="9">
        <v>15</v>
      </c>
      <c r="H30" s="9"/>
      <c r="I30" s="9"/>
      <c r="J30" s="9"/>
      <c r="K30" s="9"/>
      <c r="L30" s="9"/>
      <c r="M30" s="9"/>
      <c r="N30" s="9"/>
      <c r="O30" s="9"/>
      <c r="P30" s="11" t="str">
        <f t="shared" si="0"/>
        <v/>
      </c>
      <c r="Q30" s="12"/>
    </row>
    <row r="31" spans="1:17" ht="15" customHeight="1" x14ac:dyDescent="0.3">
      <c r="A31" s="8"/>
      <c r="B31" s="9"/>
      <c r="C31" s="9"/>
      <c r="D31" s="9"/>
      <c r="E31" s="10"/>
      <c r="F31" s="10"/>
      <c r="G31" s="9">
        <v>15</v>
      </c>
      <c r="H31" s="9"/>
      <c r="I31" s="9"/>
      <c r="J31" s="9"/>
      <c r="K31" s="9"/>
      <c r="L31" s="9"/>
      <c r="M31" s="9"/>
      <c r="N31" s="9"/>
      <c r="O31" s="9"/>
      <c r="P31" s="11" t="str">
        <f t="shared" si="0"/>
        <v/>
      </c>
      <c r="Q31" s="12"/>
    </row>
    <row r="32" spans="1:17" ht="15" customHeight="1" x14ac:dyDescent="0.3">
      <c r="A32" s="8"/>
      <c r="B32" s="9"/>
      <c r="C32" s="9"/>
      <c r="D32" s="9"/>
      <c r="E32" s="10"/>
      <c r="F32" s="10"/>
      <c r="G32" s="9">
        <v>15</v>
      </c>
      <c r="H32" s="9"/>
      <c r="I32" s="9"/>
      <c r="J32" s="9"/>
      <c r="K32" s="9"/>
      <c r="L32" s="9"/>
      <c r="M32" s="9"/>
      <c r="N32" s="9"/>
      <c r="O32" s="9"/>
      <c r="P32" s="11" t="str">
        <f t="shared" si="0"/>
        <v/>
      </c>
      <c r="Q32" s="12"/>
    </row>
    <row r="33" spans="1:17" ht="15" customHeight="1" x14ac:dyDescent="0.3">
      <c r="A33" s="8"/>
      <c r="B33" s="9"/>
      <c r="C33" s="9"/>
      <c r="D33" s="9"/>
      <c r="E33" s="10"/>
      <c r="F33" s="10"/>
      <c r="G33" s="9">
        <v>15</v>
      </c>
      <c r="H33" s="9"/>
      <c r="I33" s="9"/>
      <c r="J33" s="9"/>
      <c r="K33" s="9"/>
      <c r="L33" s="9"/>
      <c r="M33" s="9"/>
      <c r="N33" s="9"/>
      <c r="O33" s="9"/>
      <c r="P33" s="11" t="str">
        <f t="shared" si="0"/>
        <v/>
      </c>
      <c r="Q33" s="12"/>
    </row>
    <row r="34" spans="1:17" ht="15" customHeight="1" x14ac:dyDescent="0.3">
      <c r="A34" s="8"/>
      <c r="B34" s="9"/>
      <c r="C34" s="9"/>
      <c r="D34" s="9"/>
      <c r="E34" s="10"/>
      <c r="F34" s="10"/>
      <c r="G34" s="9">
        <v>15</v>
      </c>
      <c r="H34" s="9"/>
      <c r="I34" s="9"/>
      <c r="J34" s="9"/>
      <c r="K34" s="9"/>
      <c r="L34" s="9"/>
      <c r="M34" s="9"/>
      <c r="N34" s="9"/>
      <c r="O34" s="9"/>
      <c r="P34" s="11" t="str">
        <f t="shared" si="0"/>
        <v/>
      </c>
      <c r="Q34" s="12"/>
    </row>
    <row r="35" spans="1:17" ht="15" customHeight="1" x14ac:dyDescent="0.3">
      <c r="A35" s="8"/>
      <c r="B35" s="9"/>
      <c r="C35" s="9"/>
      <c r="D35" s="9"/>
      <c r="E35" s="10"/>
      <c r="F35" s="10"/>
      <c r="G35" s="9">
        <v>15</v>
      </c>
      <c r="H35" s="9"/>
      <c r="I35" s="9"/>
      <c r="J35" s="9"/>
      <c r="K35" s="9"/>
      <c r="L35" s="9"/>
      <c r="M35" s="9"/>
      <c r="N35" s="9"/>
      <c r="O35" s="9"/>
      <c r="P35" s="11" t="str">
        <f t="shared" si="0"/>
        <v/>
      </c>
      <c r="Q35" s="12"/>
    </row>
    <row r="36" spans="1:17" ht="15" customHeight="1" x14ac:dyDescent="0.3">
      <c r="A36" s="8"/>
      <c r="B36" s="9"/>
      <c r="C36" s="9"/>
      <c r="D36" s="9"/>
      <c r="E36" s="10"/>
      <c r="F36" s="10"/>
      <c r="G36" s="9">
        <v>15</v>
      </c>
      <c r="H36" s="9"/>
      <c r="I36" s="9"/>
      <c r="J36" s="9"/>
      <c r="K36" s="9"/>
      <c r="L36" s="9"/>
      <c r="M36" s="9"/>
      <c r="N36" s="9"/>
      <c r="O36" s="9"/>
      <c r="P36" s="11" t="str">
        <f t="shared" si="0"/>
        <v/>
      </c>
      <c r="Q36" s="12"/>
    </row>
    <row r="37" spans="1:17" ht="15" customHeight="1" x14ac:dyDescent="0.3">
      <c r="A37" s="8"/>
      <c r="B37" s="9"/>
      <c r="C37" s="9"/>
      <c r="D37" s="9"/>
      <c r="E37" s="10"/>
      <c r="F37" s="10"/>
      <c r="G37" s="9">
        <v>15</v>
      </c>
      <c r="H37" s="9"/>
      <c r="I37" s="9"/>
      <c r="J37" s="9"/>
      <c r="K37" s="9"/>
      <c r="L37" s="9"/>
      <c r="M37" s="9"/>
      <c r="N37" s="9"/>
      <c r="O37" s="9"/>
      <c r="P37" s="11" t="str">
        <f t="shared" si="0"/>
        <v/>
      </c>
      <c r="Q37" s="12"/>
    </row>
    <row r="38" spans="1:17" ht="15" customHeight="1" x14ac:dyDescent="0.3">
      <c r="A38" s="8"/>
      <c r="B38" s="9"/>
      <c r="C38" s="9"/>
      <c r="D38" s="9"/>
      <c r="E38" s="10"/>
      <c r="F38" s="10"/>
      <c r="G38" s="9">
        <v>15</v>
      </c>
      <c r="H38" s="9"/>
      <c r="I38" s="9"/>
      <c r="J38" s="9"/>
      <c r="K38" s="9"/>
      <c r="L38" s="9"/>
      <c r="M38" s="9"/>
      <c r="N38" s="9"/>
      <c r="O38" s="9"/>
      <c r="P38" s="11" t="str">
        <f t="shared" si="0"/>
        <v/>
      </c>
      <c r="Q38" s="12"/>
    </row>
    <row r="39" spans="1:17" ht="15" customHeight="1" x14ac:dyDescent="0.3">
      <c r="A39" s="8"/>
      <c r="B39" s="9"/>
      <c r="C39" s="9"/>
      <c r="D39" s="9"/>
      <c r="E39" s="10"/>
      <c r="F39" s="10"/>
      <c r="G39" s="9">
        <v>15</v>
      </c>
      <c r="H39" s="9"/>
      <c r="I39" s="9"/>
      <c r="J39" s="9"/>
      <c r="K39" s="9"/>
      <c r="L39" s="9"/>
      <c r="M39" s="9"/>
      <c r="N39" s="9"/>
      <c r="O39" s="9"/>
      <c r="P39" s="11" t="str">
        <f t="shared" si="0"/>
        <v/>
      </c>
      <c r="Q39" s="12"/>
    </row>
    <row r="40" spans="1:17" ht="15" customHeight="1" x14ac:dyDescent="0.3">
      <c r="A40" s="8"/>
      <c r="B40" s="9"/>
      <c r="C40" s="9"/>
      <c r="D40" s="9"/>
      <c r="E40" s="10"/>
      <c r="F40" s="10"/>
      <c r="G40" s="9">
        <v>15</v>
      </c>
      <c r="H40" s="9"/>
      <c r="I40" s="9"/>
      <c r="J40" s="9"/>
      <c r="K40" s="9"/>
      <c r="L40" s="9"/>
      <c r="M40" s="9"/>
      <c r="N40" s="9"/>
      <c r="O40" s="9"/>
      <c r="P40" s="11" t="str">
        <f t="shared" si="0"/>
        <v/>
      </c>
      <c r="Q40" s="12"/>
    </row>
    <row r="41" spans="1:17" ht="15" customHeight="1" x14ac:dyDescent="0.3">
      <c r="A41" s="8"/>
      <c r="B41" s="9"/>
      <c r="C41" s="9"/>
      <c r="D41" s="9"/>
      <c r="E41" s="10"/>
      <c r="F41" s="10"/>
      <c r="G41" s="9">
        <v>15</v>
      </c>
      <c r="H41" s="9"/>
      <c r="I41" s="9"/>
      <c r="J41" s="9"/>
      <c r="K41" s="9"/>
      <c r="L41" s="9"/>
      <c r="M41" s="9"/>
      <c r="N41" s="9"/>
      <c r="O41" s="9"/>
      <c r="P41" s="11" t="str">
        <f t="shared" si="0"/>
        <v/>
      </c>
      <c r="Q41" s="12"/>
    </row>
  </sheetData>
  <phoneticPr fontId="10" type="noConversion"/>
  <dataValidations count="4">
    <dataValidation type="list" allowBlank="1" sqref="C2:C41" xr:uid="{00000000-0002-0000-0100-000000000000}">
      <formula1>"Norte - Cra 23 (de Villavicencio hacia Acacías),Sur - Cra 23 (de Acacías hacia Villavicencio),Este - Dg 15 (hacia el hospital),Oeste - Dg 15 (hacia el centro)"</formula1>
      <formula2>0</formula2>
    </dataValidation>
    <dataValidation type="list" allowBlank="1" sqref="D2:D41" xr:uid="{00000000-0002-0000-0100-000001000000}">
      <formula1>"Pico,Valle"</formula1>
      <formula2>0</formula2>
    </dataValidation>
    <dataValidation type="list" allowBlank="1" sqref="B2:B41" xr:uid="{00000000-0002-0000-0100-000002000000}">
      <formula1>"Lunes,Martes,Miércoles,Jueves,Viernes,Sábado,Domingo"</formula1>
      <formula2>0</formula2>
    </dataValidation>
    <dataValidation type="whole" operator="greaterThanOrEqual" allowBlank="1" sqref="H2:O41" xr:uid="{00000000-0002-0000-01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3" width="8" customWidth="1"/>
    <col min="4" max="4" width="16" customWidth="1"/>
    <col min="5" max="5" width="10" customWidth="1"/>
    <col min="6" max="6" width="11" customWidth="1"/>
    <col min="7" max="7" width="9" customWidth="1"/>
    <col min="8" max="8" width="12" customWidth="1"/>
    <col min="9" max="9" width="20" customWidth="1"/>
    <col min="10" max="10" width="14" customWidth="1"/>
    <col min="11" max="11" width="30" customWidth="1"/>
  </cols>
  <sheetData>
    <row r="1" spans="1:11" ht="45" customHeight="1" x14ac:dyDescent="0.3">
      <c r="A1" s="7" t="s">
        <v>26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42</v>
      </c>
    </row>
    <row r="2" spans="1:11" ht="15" customHeight="1" x14ac:dyDescent="0.3">
      <c r="A2" s="8">
        <v>46311</v>
      </c>
      <c r="B2" s="10">
        <v>0.75</v>
      </c>
      <c r="C2" s="9">
        <v>1</v>
      </c>
      <c r="D2" s="9" t="s">
        <v>64</v>
      </c>
      <c r="E2" s="9">
        <v>55</v>
      </c>
      <c r="F2" s="9">
        <v>3</v>
      </c>
      <c r="G2" s="9">
        <v>45</v>
      </c>
      <c r="H2" s="9"/>
      <c r="I2" s="9"/>
      <c r="J2" s="11">
        <f t="shared" ref="J2:J17" si="0">IF(COUNT(E2:G2)=0,"",SUM(E2:G2))</f>
        <v>103</v>
      </c>
      <c r="K2" s="9"/>
    </row>
    <row r="3" spans="1:11" ht="15" customHeight="1" x14ac:dyDescent="0.3">
      <c r="A3" s="8">
        <v>46311</v>
      </c>
      <c r="B3" s="10">
        <v>0.75</v>
      </c>
      <c r="C3" s="9">
        <v>2</v>
      </c>
      <c r="D3" s="9" t="s">
        <v>64</v>
      </c>
      <c r="E3" s="9">
        <v>55</v>
      </c>
      <c r="F3" s="9">
        <v>3</v>
      </c>
      <c r="G3" s="9">
        <v>45</v>
      </c>
      <c r="H3" s="9"/>
      <c r="I3" s="9"/>
      <c r="J3" s="11">
        <f t="shared" si="0"/>
        <v>103</v>
      </c>
      <c r="K3" s="9"/>
    </row>
    <row r="4" spans="1:11" ht="15" customHeight="1" x14ac:dyDescent="0.3">
      <c r="A4" s="8">
        <v>46311</v>
      </c>
      <c r="B4" s="10">
        <v>0.75</v>
      </c>
      <c r="C4" s="9">
        <v>3</v>
      </c>
      <c r="D4" s="9" t="s">
        <v>64</v>
      </c>
      <c r="E4" s="9">
        <v>55</v>
      </c>
      <c r="F4" s="9">
        <v>3</v>
      </c>
      <c r="G4" s="9">
        <v>45</v>
      </c>
      <c r="H4" s="9"/>
      <c r="I4" s="9"/>
      <c r="J4" s="11">
        <f t="shared" si="0"/>
        <v>103</v>
      </c>
      <c r="K4" s="9"/>
    </row>
    <row r="5" spans="1:11" ht="15" customHeight="1" x14ac:dyDescent="0.3">
      <c r="A5" s="8">
        <v>46311</v>
      </c>
      <c r="B5" s="10">
        <v>0.75</v>
      </c>
      <c r="C5" s="9">
        <v>4</v>
      </c>
      <c r="D5" s="9" t="s">
        <v>64</v>
      </c>
      <c r="E5" s="9">
        <v>55</v>
      </c>
      <c r="F5" s="9">
        <v>3</v>
      </c>
      <c r="G5" s="9">
        <v>45</v>
      </c>
      <c r="H5" s="9"/>
      <c r="I5" s="9"/>
      <c r="J5" s="11">
        <f t="shared" si="0"/>
        <v>103</v>
      </c>
      <c r="K5" s="9"/>
    </row>
    <row r="6" spans="1:11" ht="15" customHeight="1" x14ac:dyDescent="0.3">
      <c r="A6" s="8">
        <v>46311</v>
      </c>
      <c r="B6" s="10">
        <v>0.76041666666666696</v>
      </c>
      <c r="C6" s="9">
        <v>1</v>
      </c>
      <c r="D6" s="9" t="s">
        <v>65</v>
      </c>
      <c r="E6" s="9">
        <v>20</v>
      </c>
      <c r="F6" s="9">
        <v>3</v>
      </c>
      <c r="G6" s="9">
        <v>77</v>
      </c>
      <c r="H6" s="9"/>
      <c r="I6" s="9"/>
      <c r="J6" s="11">
        <f t="shared" si="0"/>
        <v>100</v>
      </c>
      <c r="K6" s="9"/>
    </row>
    <row r="7" spans="1:11" ht="15" customHeight="1" x14ac:dyDescent="0.3">
      <c r="A7" s="8">
        <v>46311</v>
      </c>
      <c r="B7" s="10">
        <v>0.76041666666666696</v>
      </c>
      <c r="C7" s="9">
        <v>2</v>
      </c>
      <c r="D7" s="9" t="s">
        <v>65</v>
      </c>
      <c r="E7" s="9">
        <v>20</v>
      </c>
      <c r="F7" s="9">
        <v>3</v>
      </c>
      <c r="G7" s="9">
        <v>77</v>
      </c>
      <c r="H7" s="9"/>
      <c r="I7" s="9"/>
      <c r="J7" s="11">
        <f t="shared" si="0"/>
        <v>100</v>
      </c>
      <c r="K7" s="9"/>
    </row>
    <row r="8" spans="1:11" ht="15" customHeight="1" x14ac:dyDescent="0.3">
      <c r="A8" s="8">
        <v>46311</v>
      </c>
      <c r="B8" s="10">
        <v>0.76041666666666696</v>
      </c>
      <c r="C8" s="9">
        <v>3</v>
      </c>
      <c r="D8" s="9" t="s">
        <v>65</v>
      </c>
      <c r="E8" s="9">
        <v>20</v>
      </c>
      <c r="F8" s="9">
        <v>3</v>
      </c>
      <c r="G8" s="9">
        <v>77</v>
      </c>
      <c r="H8" s="9"/>
      <c r="I8" s="9"/>
      <c r="J8" s="11">
        <f t="shared" si="0"/>
        <v>100</v>
      </c>
      <c r="K8" s="9"/>
    </row>
    <row r="9" spans="1:11" ht="15" customHeight="1" x14ac:dyDescent="0.3">
      <c r="A9" s="8">
        <v>46311</v>
      </c>
      <c r="B9" s="10">
        <v>0.76041666666666696</v>
      </c>
      <c r="C9" s="9">
        <v>4</v>
      </c>
      <c r="D9" s="9" t="s">
        <v>65</v>
      </c>
      <c r="E9" s="9">
        <v>20</v>
      </c>
      <c r="F9" s="9">
        <v>3</v>
      </c>
      <c r="G9" s="9">
        <v>77</v>
      </c>
      <c r="H9" s="9"/>
      <c r="I9" s="9"/>
      <c r="J9" s="11">
        <f t="shared" si="0"/>
        <v>100</v>
      </c>
      <c r="K9" s="9"/>
    </row>
    <row r="10" spans="1:11" ht="15" customHeight="1" x14ac:dyDescent="0.3">
      <c r="A10" s="8">
        <v>46315</v>
      </c>
      <c r="B10" s="10">
        <v>0.84375</v>
      </c>
      <c r="C10" s="9">
        <v>5</v>
      </c>
      <c r="D10" s="9" t="s">
        <v>65</v>
      </c>
      <c r="E10" s="9">
        <v>20</v>
      </c>
      <c r="F10" s="9">
        <v>3</v>
      </c>
      <c r="G10" s="9">
        <v>77</v>
      </c>
      <c r="H10" s="9"/>
      <c r="I10" s="9"/>
      <c r="J10" s="11">
        <f t="shared" si="0"/>
        <v>100</v>
      </c>
      <c r="K10" s="9"/>
    </row>
    <row r="11" spans="1:11" ht="15" customHeight="1" x14ac:dyDescent="0.3">
      <c r="A11" s="8">
        <v>46315</v>
      </c>
      <c r="B11" s="10">
        <v>0.88541666666666696</v>
      </c>
      <c r="C11" s="9">
        <v>6</v>
      </c>
      <c r="D11" s="9" t="s">
        <v>65</v>
      </c>
      <c r="E11" s="9">
        <v>20</v>
      </c>
      <c r="F11" s="9">
        <v>3</v>
      </c>
      <c r="G11" s="9">
        <v>77</v>
      </c>
      <c r="H11" s="9"/>
      <c r="I11" s="9"/>
      <c r="J11" s="11">
        <f t="shared" si="0"/>
        <v>100</v>
      </c>
      <c r="K11" s="9"/>
    </row>
    <row r="12" spans="1:11" ht="15" customHeight="1" x14ac:dyDescent="0.3">
      <c r="A12" s="8">
        <v>46315</v>
      </c>
      <c r="B12" s="10">
        <v>0.92708333333333304</v>
      </c>
      <c r="C12" s="9">
        <v>7</v>
      </c>
      <c r="D12" s="9" t="s">
        <v>65</v>
      </c>
      <c r="E12" s="9">
        <v>20</v>
      </c>
      <c r="F12" s="9">
        <v>3</v>
      </c>
      <c r="G12" s="9">
        <v>77</v>
      </c>
      <c r="H12" s="9"/>
      <c r="I12" s="9"/>
      <c r="J12" s="11">
        <f t="shared" si="0"/>
        <v>100</v>
      </c>
      <c r="K12" s="9"/>
    </row>
    <row r="13" spans="1:11" ht="15" customHeight="1" x14ac:dyDescent="0.3">
      <c r="A13" s="8">
        <v>46315</v>
      </c>
      <c r="B13" s="10">
        <v>0.96875</v>
      </c>
      <c r="C13" s="9">
        <v>8</v>
      </c>
      <c r="D13" s="9" t="s">
        <v>65</v>
      </c>
      <c r="E13" s="9">
        <v>20</v>
      </c>
      <c r="F13" s="9">
        <v>3</v>
      </c>
      <c r="G13" s="9">
        <v>77</v>
      </c>
      <c r="H13" s="9"/>
      <c r="I13" s="9"/>
      <c r="J13" s="11">
        <f t="shared" si="0"/>
        <v>100</v>
      </c>
      <c r="K13" s="9"/>
    </row>
    <row r="14" spans="1:11" ht="15" customHeight="1" x14ac:dyDescent="0.3">
      <c r="A14" s="8"/>
      <c r="B14" s="10"/>
      <c r="C14" s="9"/>
      <c r="D14" s="9"/>
      <c r="E14" s="9"/>
      <c r="F14" s="9"/>
      <c r="G14" s="9"/>
      <c r="H14" s="9"/>
      <c r="I14" s="9"/>
      <c r="J14" s="11" t="str">
        <f t="shared" si="0"/>
        <v/>
      </c>
      <c r="K14" s="9"/>
    </row>
    <row r="15" spans="1:11" ht="15" customHeight="1" x14ac:dyDescent="0.3">
      <c r="A15" s="8"/>
      <c r="B15" s="10"/>
      <c r="C15" s="9"/>
      <c r="D15" s="9"/>
      <c r="E15" s="9"/>
      <c r="F15" s="9"/>
      <c r="G15" s="9"/>
      <c r="H15" s="9"/>
      <c r="I15" s="9"/>
      <c r="J15" s="11" t="str">
        <f t="shared" si="0"/>
        <v/>
      </c>
      <c r="K15" s="9"/>
    </row>
    <row r="16" spans="1:11" ht="15" customHeight="1" x14ac:dyDescent="0.3">
      <c r="A16" s="8"/>
      <c r="B16" s="10"/>
      <c r="C16" s="9"/>
      <c r="D16" s="9"/>
      <c r="E16" s="9"/>
      <c r="F16" s="9"/>
      <c r="G16" s="9"/>
      <c r="H16" s="9"/>
      <c r="I16" s="9"/>
      <c r="J16" s="11" t="str">
        <f t="shared" si="0"/>
        <v/>
      </c>
      <c r="K16" s="9"/>
    </row>
    <row r="17" spans="1:11" ht="15" customHeight="1" x14ac:dyDescent="0.3">
      <c r="A17" s="8"/>
      <c r="B17" s="10"/>
      <c r="C17" s="9"/>
      <c r="D17" s="9"/>
      <c r="E17" s="9"/>
      <c r="F17" s="9"/>
      <c r="G17" s="9"/>
      <c r="H17" s="9"/>
      <c r="I17" s="9"/>
      <c r="J17" s="11" t="str">
        <f t="shared" si="0"/>
        <v/>
      </c>
      <c r="K17" s="9"/>
    </row>
    <row r="19" spans="1:11" ht="15" customHeight="1" x14ac:dyDescent="0.3">
      <c r="A19" s="13" t="s">
        <v>66</v>
      </c>
    </row>
    <row r="20" spans="1:11" ht="23.25" customHeight="1" x14ac:dyDescent="0.3">
      <c r="A20" s="7" t="s">
        <v>57</v>
      </c>
      <c r="B20" s="7" t="s">
        <v>58</v>
      </c>
      <c r="C20" s="7" t="s">
        <v>59</v>
      </c>
      <c r="D20" s="7" t="s">
        <v>60</v>
      </c>
      <c r="E20" s="7" t="s">
        <v>61</v>
      </c>
      <c r="F20" s="7" t="s">
        <v>67</v>
      </c>
    </row>
    <row r="21" spans="1:11" ht="15" customHeight="1" x14ac:dyDescent="0.3">
      <c r="A21" s="14" t="s">
        <v>64</v>
      </c>
      <c r="B21" s="15">
        <f t="shared" ref="B21:E22" si="1">IFERROR(AVERAGEIFS(E$2:E$17,$D$2:$D$17,$A21),"")</f>
        <v>55</v>
      </c>
      <c r="C21" s="15">
        <f t="shared" si="1"/>
        <v>3</v>
      </c>
      <c r="D21" s="15">
        <f t="shared" si="1"/>
        <v>45</v>
      </c>
      <c r="E21" s="15" t="str">
        <f t="shared" si="1"/>
        <v/>
      </c>
      <c r="F21" s="16">
        <f>COUNTIFS($D$2:$D$17,$A21,$E$2:$E$17,"&lt;&gt;")</f>
        <v>4</v>
      </c>
    </row>
    <row r="22" spans="1:11" ht="15" customHeight="1" x14ac:dyDescent="0.3">
      <c r="A22" s="14" t="s">
        <v>65</v>
      </c>
      <c r="B22" s="15">
        <f t="shared" si="1"/>
        <v>20</v>
      </c>
      <c r="C22" s="15">
        <f t="shared" si="1"/>
        <v>3</v>
      </c>
      <c r="D22" s="15">
        <f t="shared" si="1"/>
        <v>77</v>
      </c>
      <c r="E22" s="15" t="str">
        <f t="shared" si="1"/>
        <v/>
      </c>
      <c r="F22" s="16">
        <f>COUNTIFS($D$2:$D$17,$A22,$E$2:$E$17,"&lt;&gt;")</f>
        <v>8</v>
      </c>
    </row>
    <row r="24" spans="1:11" ht="15" customHeight="1" x14ac:dyDescent="0.3">
      <c r="A24" s="17" t="s">
        <v>68</v>
      </c>
    </row>
  </sheetData>
  <dataValidations count="2">
    <dataValidation type="list" allowBlank="1" sqref="D2:D17" xr:uid="{00000000-0002-0000-0200-000000000000}">
      <formula1>"Carrera 23,Diagonal 15"</formula1>
      <formula2>0</formula2>
    </dataValidation>
    <dataValidation type="list" allowBlank="1" sqref="I2:I17" xr:uid="{00000000-0002-0000-0200-000001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2" width="9" customWidth="1"/>
    <col min="3" max="3" width="10" customWidth="1"/>
    <col min="4" max="5" width="11" customWidth="1"/>
    <col min="6" max="11" width="9" customWidth="1"/>
  </cols>
  <sheetData>
    <row r="1" spans="1:11" ht="15" customHeight="1" x14ac:dyDescent="0.3">
      <c r="A1" s="18" t="s">
        <v>69</v>
      </c>
    </row>
    <row r="3" spans="1:11" ht="30" customHeight="1" x14ac:dyDescent="0.3">
      <c r="A3" s="7" t="s">
        <v>70</v>
      </c>
      <c r="B3" s="7" t="s">
        <v>29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  <c r="H3" s="7" t="s">
        <v>76</v>
      </c>
      <c r="I3" s="7" t="s">
        <v>77</v>
      </c>
      <c r="J3" s="7" t="s">
        <v>78</v>
      </c>
      <c r="K3" s="7" t="s">
        <v>79</v>
      </c>
    </row>
    <row r="4" spans="1:11" ht="15" customHeight="1" x14ac:dyDescent="0.3">
      <c r="A4" s="14" t="s">
        <v>47</v>
      </c>
      <c r="B4" s="14" t="s">
        <v>45</v>
      </c>
      <c r="C4" s="11">
        <f>SUMIFS(Aforo!$G$2:$G$41,Aforo!$C$2:$C$41,$A4,Aforo!$D$2:$D$41,$B4)</f>
        <v>45</v>
      </c>
      <c r="D4" s="11">
        <f>SUMIFS(Aforo!$P$2:$P$41,Aforo!$C$2:$C$41,$A4,Aforo!$D$2:$D$41,$B4)</f>
        <v>1023</v>
      </c>
      <c r="E4" s="19">
        <f t="shared" ref="E4:E11" si="0">IF(C4=0,"",D4/C4*60)</f>
        <v>1364</v>
      </c>
      <c r="F4" s="20">
        <f>IF(D4=0,"",(SUMIFS(Aforo!$H$2:$H$41,Aforo!$C$2:$C$41,$A4,Aforo!$D$2:$D$41,$B4)+SUMIFS(Aforo!$I$2:$I$41,Aforo!$C$2:$C$41,$A4,Aforo!$D$2:$D$41,$B4))/D4)</f>
        <v>0.29130009775171067</v>
      </c>
      <c r="G4" s="20">
        <f>IF(D4=0,"",(SUMIFS(Aforo!$J$2:$J$41,Aforo!$C$2:$C$41,$A4,Aforo!$D$2:$D$41,$B4)+SUMIFS(Aforo!$K$2:$K$41,Aforo!$C$2:$C$41,$A4,Aforo!$D$2:$D$41,$B4))/D4)</f>
        <v>0.5972629521016618</v>
      </c>
      <c r="H4" s="20">
        <f>IF(D4=0,"",(SUMIFS(Aforo!$L$2:$L$41,Aforo!$C$2:$C$41,$A4,Aforo!$D$2:$D$41,$B4)+SUMIFS(Aforo!$M$2:$M$41,Aforo!$C$2:$C$41,$A4,Aforo!$D$2:$D$41,$B4))/D4)</f>
        <v>4.1055718475073312E-2</v>
      </c>
      <c r="I4" s="20">
        <f>IF(D4=0,"",(SUMIFS(Aforo!$N$2:$N$41,Aforo!$C$2:$C$41,$A4,Aforo!$D$2:$D$41,$B4)+SUMIFS(Aforo!$O$2:$O$41,Aforo!$C$2:$C$41,$A4,Aforo!$D$2:$D$41,$B4))/D4)</f>
        <v>7.0381231671554259E-2</v>
      </c>
      <c r="J4" s="20">
        <f>IF(D4=0,"",(SUMIFS(Aforo!$H$2:$H$41,Aforo!$C$2:$C$41,$A4,Aforo!$D$2:$D$41,$B4)+SUMIFS(Aforo!$J$2:$J$41,Aforo!$C$2:$C$41,$A4,Aforo!$D$2:$D$41,$B4)+SUMIFS(Aforo!$L$2:$L$41,Aforo!$C$2:$C$41,$A4,Aforo!$D$2:$D$41,$B4)+SUMIFS(Aforo!$N$2:$N$41,Aforo!$C$2:$C$41,$A4,Aforo!$D$2:$D$41,$B4))/D4)</f>
        <v>0.83773216031280551</v>
      </c>
      <c r="K4" s="20">
        <f>IF(D4=0,"",(SUMIFS(Aforo!$I$2:$I$41,Aforo!$C$2:$C$41,$A4,Aforo!$D$2:$D$41,$B4)+SUMIFS(Aforo!$K$2:$K$41,Aforo!$C$2:$C$41,$A4,Aforo!$D$2:$D$41,$B4)+SUMIFS(Aforo!$M$2:$M$41,Aforo!$C$2:$C$41,$A4,Aforo!$D$2:$D$41,$B4)+SUMIFS(Aforo!$O$2:$O$41,Aforo!$C$2:$C$41,$A4,Aforo!$D$2:$D$41,$B4))/D4)</f>
        <v>0.16226783968719452</v>
      </c>
    </row>
    <row r="5" spans="1:11" ht="15" customHeight="1" x14ac:dyDescent="0.3">
      <c r="A5" s="14" t="s">
        <v>47</v>
      </c>
      <c r="B5" s="14" t="s">
        <v>52</v>
      </c>
      <c r="C5" s="11">
        <f>SUMIFS(Aforo!$G$2:$G$41,Aforo!$C$2:$C$41,$A5,Aforo!$D$2:$D$41,$B5)</f>
        <v>30</v>
      </c>
      <c r="D5" s="11">
        <f>SUMIFS(Aforo!$P$2:$P$41,Aforo!$C$2:$C$41,$A5,Aforo!$D$2:$D$41,$B5)</f>
        <v>428</v>
      </c>
      <c r="E5" s="19">
        <f t="shared" si="0"/>
        <v>856</v>
      </c>
      <c r="F5" s="20">
        <f>IF(D5=0,"",(SUMIFS(Aforo!$H$2:$H$41,Aforo!$C$2:$C$41,$A5,Aforo!$D$2:$D$41,$B5)+SUMIFS(Aforo!$I$2:$I$41,Aforo!$C$2:$C$41,$A5,Aforo!$D$2:$D$41,$B5))/D5)</f>
        <v>0.34345794392523366</v>
      </c>
      <c r="G5" s="20">
        <f>IF(D5=0,"",(SUMIFS(Aforo!$J$2:$J$41,Aforo!$C$2:$C$41,$A5,Aforo!$D$2:$D$41,$B5)+SUMIFS(Aforo!$K$2:$K$41,Aforo!$C$2:$C$41,$A5,Aforo!$D$2:$D$41,$B5))/D5)</f>
        <v>0.55140186915887845</v>
      </c>
      <c r="H5" s="20">
        <f>IF(D5=0,"",(SUMIFS(Aforo!$L$2:$L$41,Aforo!$C$2:$C$41,$A5,Aforo!$D$2:$D$41,$B5)+SUMIFS(Aforo!$M$2:$M$41,Aforo!$C$2:$C$41,$A5,Aforo!$D$2:$D$41,$B5))/D5)</f>
        <v>3.2710280373831772E-2</v>
      </c>
      <c r="I5" s="20">
        <f>IF(D5=0,"",(SUMIFS(Aforo!$N$2:$N$41,Aforo!$C$2:$C$41,$A5,Aforo!$D$2:$D$41,$B5)+SUMIFS(Aforo!$O$2:$O$41,Aforo!$C$2:$C$41,$A5,Aforo!$D$2:$D$41,$B5))/D5)</f>
        <v>7.2429906542056069E-2</v>
      </c>
      <c r="J5" s="20">
        <f>IF(D5=0,"",(SUMIFS(Aforo!$H$2:$H$41,Aforo!$C$2:$C$41,$A5,Aforo!$D$2:$D$41,$B5)+SUMIFS(Aforo!$J$2:$J$41,Aforo!$C$2:$C$41,$A5,Aforo!$D$2:$D$41,$B5)+SUMIFS(Aforo!$L$2:$L$41,Aforo!$C$2:$C$41,$A5,Aforo!$D$2:$D$41,$B5)+SUMIFS(Aforo!$N$2:$N$41,Aforo!$C$2:$C$41,$A5,Aforo!$D$2:$D$41,$B5))/D5)</f>
        <v>0.82009345794392519</v>
      </c>
      <c r="K5" s="20">
        <f>IF(D5=0,"",(SUMIFS(Aforo!$I$2:$I$41,Aforo!$C$2:$C$41,$A5,Aforo!$D$2:$D$41,$B5)+SUMIFS(Aforo!$K$2:$K$41,Aforo!$C$2:$C$41,$A5,Aforo!$D$2:$D$41,$B5)+SUMIFS(Aforo!$M$2:$M$41,Aforo!$C$2:$C$41,$A5,Aforo!$D$2:$D$41,$B5)+SUMIFS(Aforo!$O$2:$O$41,Aforo!$C$2:$C$41,$A5,Aforo!$D$2:$D$41,$B5))/D5)</f>
        <v>0.17990654205607476</v>
      </c>
    </row>
    <row r="6" spans="1:11" ht="15" customHeight="1" x14ac:dyDescent="0.3">
      <c r="A6" s="14" t="s">
        <v>44</v>
      </c>
      <c r="B6" s="14" t="s">
        <v>45</v>
      </c>
      <c r="C6" s="11">
        <f>SUMIFS(Aforo!$G$2:$G$41,Aforo!$C$2:$C$41,$A6,Aforo!$D$2:$D$41,$B6)</f>
        <v>45</v>
      </c>
      <c r="D6" s="11">
        <f>SUMIFS(Aforo!$P$2:$P$41,Aforo!$C$2:$C$41,$A6,Aforo!$D$2:$D$41,$B6)</f>
        <v>974</v>
      </c>
      <c r="E6" s="19">
        <f t="shared" si="0"/>
        <v>1298.6666666666667</v>
      </c>
      <c r="F6" s="20">
        <f>IF(D6=0,"",(SUMIFS(Aforo!$H$2:$H$41,Aforo!$C$2:$C$41,$A6,Aforo!$D$2:$D$41,$B6)+SUMIFS(Aforo!$I$2:$I$41,Aforo!$C$2:$C$41,$A6,Aforo!$D$2:$D$41,$B6))/D6)</f>
        <v>0.34496919917864477</v>
      </c>
      <c r="G6" s="20">
        <f>IF(D6=0,"",(SUMIFS(Aforo!$J$2:$J$41,Aforo!$C$2:$C$41,$A6,Aforo!$D$2:$D$41,$B6)+SUMIFS(Aforo!$K$2:$K$41,Aforo!$C$2:$C$41,$A6,Aforo!$D$2:$D$41,$B6))/D6)</f>
        <v>0.52772073921971252</v>
      </c>
      <c r="H6" s="20">
        <f>IF(D6=0,"",(SUMIFS(Aforo!$L$2:$L$41,Aforo!$C$2:$C$41,$A6,Aforo!$D$2:$D$41,$B6)+SUMIFS(Aforo!$M$2:$M$41,Aforo!$C$2:$C$41,$A6,Aforo!$D$2:$D$41,$B6))/D6)</f>
        <v>5.2361396303901436E-2</v>
      </c>
      <c r="I6" s="20">
        <f>IF(D6=0,"",(SUMIFS(Aforo!$N$2:$N$41,Aforo!$C$2:$C$41,$A6,Aforo!$D$2:$D$41,$B6)+SUMIFS(Aforo!$O$2:$O$41,Aforo!$C$2:$C$41,$A6,Aforo!$D$2:$D$41,$B6))/D6)</f>
        <v>7.4948665297741274E-2</v>
      </c>
      <c r="J6" s="20">
        <f>IF(D6=0,"",(SUMIFS(Aforo!$H$2:$H$41,Aforo!$C$2:$C$41,$A6,Aforo!$D$2:$D$41,$B6)+SUMIFS(Aforo!$J$2:$J$41,Aforo!$C$2:$C$41,$A6,Aforo!$D$2:$D$41,$B6)+SUMIFS(Aforo!$L$2:$L$41,Aforo!$C$2:$C$41,$A6,Aforo!$D$2:$D$41,$B6)+SUMIFS(Aforo!$N$2:$N$41,Aforo!$C$2:$C$41,$A6,Aforo!$D$2:$D$41,$B6))/D6)</f>
        <v>0.9537987679671458</v>
      </c>
      <c r="K6" s="20">
        <f>IF(D6=0,"",(SUMIFS(Aforo!$I$2:$I$41,Aforo!$C$2:$C$41,$A6,Aforo!$D$2:$D$41,$B6)+SUMIFS(Aforo!$K$2:$K$41,Aforo!$C$2:$C$41,$A6,Aforo!$D$2:$D$41,$B6)+SUMIFS(Aforo!$M$2:$M$41,Aforo!$C$2:$C$41,$A6,Aforo!$D$2:$D$41,$B6)+SUMIFS(Aforo!$O$2:$O$41,Aforo!$C$2:$C$41,$A6,Aforo!$D$2:$D$41,$B6))/D6)</f>
        <v>4.6201232032854207E-2</v>
      </c>
    </row>
    <row r="7" spans="1:11" ht="15" customHeight="1" x14ac:dyDescent="0.3">
      <c r="A7" s="14" t="s">
        <v>44</v>
      </c>
      <c r="B7" s="14" t="s">
        <v>52</v>
      </c>
      <c r="C7" s="11">
        <f>SUMIFS(Aforo!$G$2:$G$41,Aforo!$C$2:$C$41,$A7,Aforo!$D$2:$D$41,$B7)</f>
        <v>30</v>
      </c>
      <c r="D7" s="11">
        <f>SUMIFS(Aforo!$P$2:$P$41,Aforo!$C$2:$C$41,$A7,Aforo!$D$2:$D$41,$B7)</f>
        <v>403</v>
      </c>
      <c r="E7" s="19">
        <f t="shared" si="0"/>
        <v>806</v>
      </c>
      <c r="F7" s="20">
        <f>IF(D7=0,"",(SUMIFS(Aforo!$H$2:$H$41,Aforo!$C$2:$C$41,$A7,Aforo!$D$2:$D$41,$B7)+SUMIFS(Aforo!$I$2:$I$41,Aforo!$C$2:$C$41,$A7,Aforo!$D$2:$D$41,$B7))/D7)</f>
        <v>0.33995037220843671</v>
      </c>
      <c r="G7" s="20">
        <f>IF(D7=0,"",(SUMIFS(Aforo!$J$2:$J$41,Aforo!$C$2:$C$41,$A7,Aforo!$D$2:$D$41,$B7)+SUMIFS(Aforo!$K$2:$K$41,Aforo!$C$2:$C$41,$A7,Aforo!$D$2:$D$41,$B7))/D7)</f>
        <v>0.47642679900744417</v>
      </c>
      <c r="H7" s="20">
        <f>IF(D7=0,"",(SUMIFS(Aforo!$L$2:$L$41,Aforo!$C$2:$C$41,$A7,Aforo!$D$2:$D$41,$B7)+SUMIFS(Aforo!$M$2:$M$41,Aforo!$C$2:$C$41,$A7,Aforo!$D$2:$D$41,$B7))/D7)</f>
        <v>2.9776674937965261E-2</v>
      </c>
      <c r="I7" s="20">
        <f>IF(D7=0,"",(SUMIFS(Aforo!$N$2:$N$41,Aforo!$C$2:$C$41,$A7,Aforo!$D$2:$D$41,$B7)+SUMIFS(Aforo!$O$2:$O$41,Aforo!$C$2:$C$41,$A7,Aforo!$D$2:$D$41,$B7))/D7)</f>
        <v>0.15384615384615385</v>
      </c>
      <c r="J7" s="20">
        <f>IF(D7=0,"",(SUMIFS(Aforo!$H$2:$H$41,Aforo!$C$2:$C$41,$A7,Aforo!$D$2:$D$41,$B7)+SUMIFS(Aforo!$J$2:$J$41,Aforo!$C$2:$C$41,$A7,Aforo!$D$2:$D$41,$B7)+SUMIFS(Aforo!$L$2:$L$41,Aforo!$C$2:$C$41,$A7,Aforo!$D$2:$D$41,$B7)+SUMIFS(Aforo!$N$2:$N$41,Aforo!$C$2:$C$41,$A7,Aforo!$D$2:$D$41,$B7))/D7)</f>
        <v>0.94044665012406947</v>
      </c>
      <c r="K7" s="20">
        <f>IF(D7=0,"",(SUMIFS(Aforo!$I$2:$I$41,Aforo!$C$2:$C$41,$A7,Aforo!$D$2:$D$41,$B7)+SUMIFS(Aforo!$K$2:$K$41,Aforo!$C$2:$C$41,$A7,Aforo!$D$2:$D$41,$B7)+SUMIFS(Aforo!$M$2:$M$41,Aforo!$C$2:$C$41,$A7,Aforo!$D$2:$D$41,$B7)+SUMIFS(Aforo!$O$2:$O$41,Aforo!$C$2:$C$41,$A7,Aforo!$D$2:$D$41,$B7))/D7)</f>
        <v>5.9553349875930521E-2</v>
      </c>
    </row>
    <row r="8" spans="1:11" ht="15" customHeight="1" x14ac:dyDescent="0.3">
      <c r="A8" s="14" t="s">
        <v>49</v>
      </c>
      <c r="B8" s="14" t="s">
        <v>45</v>
      </c>
      <c r="C8" s="11">
        <f>SUMIFS(Aforo!$G$2:$G$41,Aforo!$C$2:$C$41,$A8,Aforo!$D$2:$D$41,$B8)</f>
        <v>45</v>
      </c>
      <c r="D8" s="11">
        <f>SUMIFS(Aforo!$P$2:$P$41,Aforo!$C$2:$C$41,$A8,Aforo!$D$2:$D$41,$B8)</f>
        <v>526</v>
      </c>
      <c r="E8" s="19">
        <f t="shared" si="0"/>
        <v>701.33333333333326</v>
      </c>
      <c r="F8" s="20">
        <f>IF(D8=0,"",(SUMIFS(Aforo!$H$2:$H$41,Aforo!$C$2:$C$41,$A8,Aforo!$D$2:$D$41,$B8)+SUMIFS(Aforo!$I$2:$I$41,Aforo!$C$2:$C$41,$A8,Aforo!$D$2:$D$41,$B8))/D8)</f>
        <v>0.30038022813688214</v>
      </c>
      <c r="G8" s="20">
        <f>IF(D8=0,"",(SUMIFS(Aforo!$J$2:$J$41,Aforo!$C$2:$C$41,$A8,Aforo!$D$2:$D$41,$B8)+SUMIFS(Aforo!$K$2:$K$41,Aforo!$C$2:$C$41,$A8,Aforo!$D$2:$D$41,$B8))/D8)</f>
        <v>0.67110266159695819</v>
      </c>
      <c r="H8" s="20">
        <f>IF(D8=0,"",(SUMIFS(Aforo!$L$2:$L$41,Aforo!$C$2:$C$41,$A8,Aforo!$D$2:$D$41,$B8)+SUMIFS(Aforo!$M$2:$M$41,Aforo!$C$2:$C$41,$A8,Aforo!$D$2:$D$41,$B8))/D8)</f>
        <v>1.5209125475285171E-2</v>
      </c>
      <c r="I8" s="20">
        <f>IF(D8=0,"",(SUMIFS(Aforo!$N$2:$N$41,Aforo!$C$2:$C$41,$A8,Aforo!$D$2:$D$41,$B8)+SUMIFS(Aforo!$O$2:$O$41,Aforo!$C$2:$C$41,$A8,Aforo!$D$2:$D$41,$B8))/D8)</f>
        <v>1.3307984790874524E-2</v>
      </c>
      <c r="J8" s="20">
        <f>IF(D8=0,"",(SUMIFS(Aforo!$H$2:$H$41,Aforo!$C$2:$C$41,$A8,Aforo!$D$2:$D$41,$B8)+SUMIFS(Aforo!$J$2:$J$41,Aforo!$C$2:$C$41,$A8,Aforo!$D$2:$D$41,$B8)+SUMIFS(Aforo!$L$2:$L$41,Aforo!$C$2:$C$41,$A8,Aforo!$D$2:$D$41,$B8)+SUMIFS(Aforo!$N$2:$N$41,Aforo!$C$2:$C$41,$A8,Aforo!$D$2:$D$41,$B8))/D8)</f>
        <v>0.83840304182509506</v>
      </c>
      <c r="K8" s="20">
        <f>IF(D8=0,"",(SUMIFS(Aforo!$I$2:$I$41,Aforo!$C$2:$C$41,$A8,Aforo!$D$2:$D$41,$B8)+SUMIFS(Aforo!$K$2:$K$41,Aforo!$C$2:$C$41,$A8,Aforo!$D$2:$D$41,$B8)+SUMIFS(Aforo!$M$2:$M$41,Aforo!$C$2:$C$41,$A8,Aforo!$D$2:$D$41,$B8)+SUMIFS(Aforo!$O$2:$O$41,Aforo!$C$2:$C$41,$A8,Aforo!$D$2:$D$41,$B8))/D8)</f>
        <v>0.16159695817490494</v>
      </c>
    </row>
    <row r="9" spans="1:11" ht="15" customHeight="1" x14ac:dyDescent="0.3">
      <c r="A9" s="14" t="s">
        <v>49</v>
      </c>
      <c r="B9" s="14" t="s">
        <v>52</v>
      </c>
      <c r="C9" s="11">
        <f>SUMIFS(Aforo!$G$2:$G$41,Aforo!$C$2:$C$41,$A9,Aforo!$D$2:$D$41,$B9)</f>
        <v>30</v>
      </c>
      <c r="D9" s="11">
        <f>SUMIFS(Aforo!$P$2:$P$41,Aforo!$C$2:$C$41,$A9,Aforo!$D$2:$D$41,$B9)</f>
        <v>188</v>
      </c>
      <c r="E9" s="19">
        <f t="shared" si="0"/>
        <v>376</v>
      </c>
      <c r="F9" s="20">
        <f>IF(D9=0,"",(SUMIFS(Aforo!$H$2:$H$41,Aforo!$C$2:$C$41,$A9,Aforo!$D$2:$D$41,$B9)+SUMIFS(Aforo!$I$2:$I$41,Aforo!$C$2:$C$41,$A9,Aforo!$D$2:$D$41,$B9))/D9)</f>
        <v>0.31382978723404253</v>
      </c>
      <c r="G9" s="20">
        <f>IF(D9=0,"",(SUMIFS(Aforo!$J$2:$J$41,Aforo!$C$2:$C$41,$A9,Aforo!$D$2:$D$41,$B9)+SUMIFS(Aforo!$K$2:$K$41,Aforo!$C$2:$C$41,$A9,Aforo!$D$2:$D$41,$B9))/D9)</f>
        <v>0.6542553191489362</v>
      </c>
      <c r="H9" s="20">
        <f>IF(D9=0,"",(SUMIFS(Aforo!$L$2:$L$41,Aforo!$C$2:$C$41,$A9,Aforo!$D$2:$D$41,$B9)+SUMIFS(Aforo!$M$2:$M$41,Aforo!$C$2:$C$41,$A9,Aforo!$D$2:$D$41,$B9))/D9)</f>
        <v>2.1276595744680851E-2</v>
      </c>
      <c r="I9" s="20">
        <f>IF(D9=0,"",(SUMIFS(Aforo!$N$2:$N$41,Aforo!$C$2:$C$41,$A9,Aforo!$D$2:$D$41,$B9)+SUMIFS(Aforo!$O$2:$O$41,Aforo!$C$2:$C$41,$A9,Aforo!$D$2:$D$41,$B9))/D9)</f>
        <v>1.0638297872340425E-2</v>
      </c>
      <c r="J9" s="20">
        <f>IF(D9=0,"",(SUMIFS(Aforo!$H$2:$H$41,Aforo!$C$2:$C$41,$A9,Aforo!$D$2:$D$41,$B9)+SUMIFS(Aforo!$J$2:$J$41,Aforo!$C$2:$C$41,$A9,Aforo!$D$2:$D$41,$B9)+SUMIFS(Aforo!$L$2:$L$41,Aforo!$C$2:$C$41,$A9,Aforo!$D$2:$D$41,$B9)+SUMIFS(Aforo!$N$2:$N$41,Aforo!$C$2:$C$41,$A9,Aforo!$D$2:$D$41,$B9))/D9)</f>
        <v>0.84042553191489366</v>
      </c>
      <c r="K9" s="20">
        <f>IF(D9=0,"",(SUMIFS(Aforo!$I$2:$I$41,Aforo!$C$2:$C$41,$A9,Aforo!$D$2:$D$41,$B9)+SUMIFS(Aforo!$K$2:$K$41,Aforo!$C$2:$C$41,$A9,Aforo!$D$2:$D$41,$B9)+SUMIFS(Aforo!$M$2:$M$41,Aforo!$C$2:$C$41,$A9,Aforo!$D$2:$D$41,$B9)+SUMIFS(Aforo!$O$2:$O$41,Aforo!$C$2:$C$41,$A9,Aforo!$D$2:$D$41,$B9))/D9)</f>
        <v>0.15957446808510639</v>
      </c>
    </row>
    <row r="10" spans="1:11" ht="15" customHeight="1" x14ac:dyDescent="0.3">
      <c r="A10" s="14" t="s">
        <v>50</v>
      </c>
      <c r="B10" s="14" t="s">
        <v>45</v>
      </c>
      <c r="C10" s="11">
        <f>SUMIFS(Aforo!$G$2:$G$41,Aforo!$C$2:$C$41,$A10,Aforo!$D$2:$D$41,$B10)</f>
        <v>45</v>
      </c>
      <c r="D10" s="11">
        <f>SUMIFS(Aforo!$P$2:$P$41,Aforo!$C$2:$C$41,$A10,Aforo!$D$2:$D$41,$B10)</f>
        <v>409</v>
      </c>
      <c r="E10" s="19">
        <f t="shared" si="0"/>
        <v>545.33333333333326</v>
      </c>
      <c r="F10" s="20">
        <f>IF(D10=0,"",(SUMIFS(Aforo!$H$2:$H$41,Aforo!$C$2:$C$41,$A10,Aforo!$D$2:$D$41,$B10)+SUMIFS(Aforo!$I$2:$I$41,Aforo!$C$2:$C$41,$A10,Aforo!$D$2:$D$41,$B10))/D10)</f>
        <v>0.26161369193154033</v>
      </c>
      <c r="G10" s="20">
        <f>IF(D10=0,"",(SUMIFS(Aforo!$J$2:$J$41,Aforo!$C$2:$C$41,$A10,Aforo!$D$2:$D$41,$B10)+SUMIFS(Aforo!$K$2:$K$41,Aforo!$C$2:$C$41,$A10,Aforo!$D$2:$D$41,$B10))/D10)</f>
        <v>0.71882640586797064</v>
      </c>
      <c r="H10" s="20">
        <f>IF(D10=0,"",(SUMIFS(Aforo!$L$2:$L$41,Aforo!$C$2:$C$41,$A10,Aforo!$D$2:$D$41,$B10)+SUMIFS(Aforo!$M$2:$M$41,Aforo!$C$2:$C$41,$A10,Aforo!$D$2:$D$41,$B10))/D10)</f>
        <v>1.4669926650366748E-2</v>
      </c>
      <c r="I10" s="20">
        <f>IF(D10=0,"",(SUMIFS(Aforo!$N$2:$N$41,Aforo!$C$2:$C$41,$A10,Aforo!$D$2:$D$41,$B10)+SUMIFS(Aforo!$O$2:$O$41,Aforo!$C$2:$C$41,$A10,Aforo!$D$2:$D$41,$B10))/D10)</f>
        <v>4.8899755501222494E-3</v>
      </c>
      <c r="J10" s="20">
        <f>IF(D10=0,"",(SUMIFS(Aforo!$H$2:$H$41,Aforo!$C$2:$C$41,$A10,Aforo!$D$2:$D$41,$B10)+SUMIFS(Aforo!$J$2:$J$41,Aforo!$C$2:$C$41,$A10,Aforo!$D$2:$D$41,$B10)+SUMIFS(Aforo!$L$2:$L$41,Aforo!$C$2:$C$41,$A10,Aforo!$D$2:$D$41,$B10)+SUMIFS(Aforo!$N$2:$N$41,Aforo!$C$2:$C$41,$A10,Aforo!$D$2:$D$41,$B10))/D10)</f>
        <v>0.8386308068459658</v>
      </c>
      <c r="K10" s="20">
        <f>IF(D10=0,"",(SUMIFS(Aforo!$I$2:$I$41,Aforo!$C$2:$C$41,$A10,Aforo!$D$2:$D$41,$B10)+SUMIFS(Aforo!$K$2:$K$41,Aforo!$C$2:$C$41,$A10,Aforo!$D$2:$D$41,$B10)+SUMIFS(Aforo!$M$2:$M$41,Aforo!$C$2:$C$41,$A10,Aforo!$D$2:$D$41,$B10)+SUMIFS(Aforo!$O$2:$O$41,Aforo!$C$2:$C$41,$A10,Aforo!$D$2:$D$41,$B10))/D10)</f>
        <v>0.16136919315403422</v>
      </c>
    </row>
    <row r="11" spans="1:11" ht="15" customHeight="1" x14ac:dyDescent="0.3">
      <c r="A11" s="14" t="s">
        <v>50</v>
      </c>
      <c r="B11" s="14" t="s">
        <v>52</v>
      </c>
      <c r="C11" s="11">
        <f>SUMIFS(Aforo!$G$2:$G$41,Aforo!$C$2:$C$41,$A11,Aforo!$D$2:$D$41,$B11)</f>
        <v>30</v>
      </c>
      <c r="D11" s="11">
        <f>SUMIFS(Aforo!$P$2:$P$41,Aforo!$C$2:$C$41,$A11,Aforo!$D$2:$D$41,$B11)</f>
        <v>130</v>
      </c>
      <c r="E11" s="19">
        <f t="shared" si="0"/>
        <v>260</v>
      </c>
      <c r="F11" s="20">
        <f>IF(D11=0,"",(SUMIFS(Aforo!$H$2:$H$41,Aforo!$C$2:$C$41,$A11,Aforo!$D$2:$D$41,$B11)+SUMIFS(Aforo!$I$2:$I$41,Aforo!$C$2:$C$41,$A11,Aforo!$D$2:$D$41,$B11))/D11)</f>
        <v>0.33846153846153848</v>
      </c>
      <c r="G11" s="20">
        <f>IF(D11=0,"",(SUMIFS(Aforo!$J$2:$J$41,Aforo!$C$2:$C$41,$A11,Aforo!$D$2:$D$41,$B11)+SUMIFS(Aforo!$K$2:$K$41,Aforo!$C$2:$C$41,$A11,Aforo!$D$2:$D$41,$B11))/D11)</f>
        <v>0.63076923076923075</v>
      </c>
      <c r="H11" s="20">
        <f>IF(D11=0,"",(SUMIFS(Aforo!$L$2:$L$41,Aforo!$C$2:$C$41,$A11,Aforo!$D$2:$D$41,$B11)+SUMIFS(Aforo!$M$2:$M$41,Aforo!$C$2:$C$41,$A11,Aforo!$D$2:$D$41,$B11))/D11)</f>
        <v>3.0769230769230771E-2</v>
      </c>
      <c r="I11" s="20">
        <f>IF(D11=0,"",(SUMIFS(Aforo!$N$2:$N$41,Aforo!$C$2:$C$41,$A11,Aforo!$D$2:$D$41,$B11)+SUMIFS(Aforo!$O$2:$O$41,Aforo!$C$2:$C$41,$A11,Aforo!$D$2:$D$41,$B11))/D11)</f>
        <v>0</v>
      </c>
      <c r="J11" s="20">
        <f>IF(D11=0,"",(SUMIFS(Aforo!$H$2:$H$41,Aforo!$C$2:$C$41,$A11,Aforo!$D$2:$D$41,$B11)+SUMIFS(Aforo!$J$2:$J$41,Aforo!$C$2:$C$41,$A11,Aforo!$D$2:$D$41,$B11)+SUMIFS(Aforo!$L$2:$L$41,Aforo!$C$2:$C$41,$A11,Aforo!$D$2:$D$41,$B11)+SUMIFS(Aforo!$N$2:$N$41,Aforo!$C$2:$C$41,$A11,Aforo!$D$2:$D$41,$B11))/D11)</f>
        <v>0.83846153846153848</v>
      </c>
      <c r="K11" s="20">
        <f>IF(D11=0,"",(SUMIFS(Aforo!$I$2:$I$41,Aforo!$C$2:$C$41,$A11,Aforo!$D$2:$D$41,$B11)+SUMIFS(Aforo!$K$2:$K$41,Aforo!$C$2:$C$41,$A11,Aforo!$D$2:$D$41,$B11)+SUMIFS(Aforo!$M$2:$M$41,Aforo!$C$2:$C$41,$A11,Aforo!$D$2:$D$41,$B11)+SUMIFS(Aforo!$O$2:$O$41,Aforo!$C$2:$C$41,$A11,Aforo!$D$2:$D$41,$B11))/D11)</f>
        <v>0.16153846153846155</v>
      </c>
    </row>
    <row r="13" spans="1:11" ht="15" customHeight="1" x14ac:dyDescent="0.3">
      <c r="A13" s="17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0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3" width="55" customWidth="1"/>
  </cols>
  <sheetData>
    <row r="1" spans="1:3" ht="15.75" customHeight="1" x14ac:dyDescent="0.3">
      <c r="A1" s="21" t="s">
        <v>81</v>
      </c>
    </row>
    <row r="3" spans="1:3" ht="15" customHeight="1" x14ac:dyDescent="0.3">
      <c r="A3" s="13" t="s">
        <v>82</v>
      </c>
      <c r="B3" s="2"/>
      <c r="C3" s="2"/>
    </row>
    <row r="4" spans="1:3" ht="15" customHeight="1" x14ac:dyDescent="0.3">
      <c r="A4" s="13" t="s">
        <v>83</v>
      </c>
      <c r="B4" s="2"/>
      <c r="C4" s="2"/>
    </row>
    <row r="5" spans="1:3" ht="15" customHeight="1" x14ac:dyDescent="0.3">
      <c r="A5" s="13" t="s">
        <v>84</v>
      </c>
      <c r="B5" s="2"/>
      <c r="C5" s="2"/>
    </row>
    <row r="6" spans="1:3" ht="15" customHeight="1" x14ac:dyDescent="0.3">
      <c r="A6" s="13" t="s">
        <v>85</v>
      </c>
      <c r="B6" s="2"/>
      <c r="C6" s="2"/>
    </row>
    <row r="7" spans="1:3" ht="15" customHeight="1" x14ac:dyDescent="0.3">
      <c r="A7" s="13" t="s">
        <v>86</v>
      </c>
      <c r="B7" s="2"/>
      <c r="C7" s="2"/>
    </row>
    <row r="8" spans="1:3" ht="15" customHeight="1" x14ac:dyDescent="0.3">
      <c r="A8" s="13" t="s">
        <v>87</v>
      </c>
      <c r="B8" s="2"/>
      <c r="C8" s="2"/>
    </row>
    <row r="10" spans="1:3" ht="15" customHeight="1" x14ac:dyDescent="0.3">
      <c r="A10" s="22" t="s">
        <v>88</v>
      </c>
      <c r="B10" s="23" t="s">
        <v>89</v>
      </c>
      <c r="C10" s="23" t="s">
        <v>90</v>
      </c>
    </row>
    <row r="11" spans="1:3" ht="90" customHeight="1" x14ac:dyDescent="0.3">
      <c r="A11" s="24" t="s">
        <v>91</v>
      </c>
      <c r="B11" s="25"/>
      <c r="C11" s="25"/>
    </row>
    <row r="12" spans="1:3" ht="90" customHeight="1" x14ac:dyDescent="0.3">
      <c r="A12" s="24" t="s">
        <v>92</v>
      </c>
      <c r="B12" s="25"/>
      <c r="C12" s="25"/>
    </row>
    <row r="13" spans="1:3" ht="90" customHeight="1" x14ac:dyDescent="0.3">
      <c r="A13" s="24" t="s">
        <v>93</v>
      </c>
      <c r="B13" s="25"/>
      <c r="C13" s="25"/>
    </row>
    <row r="14" spans="1:3" ht="90" customHeight="1" x14ac:dyDescent="0.3">
      <c r="A14" s="24" t="s">
        <v>94</v>
      </c>
      <c r="B14" s="25"/>
      <c r="C14" s="25"/>
    </row>
    <row r="16" spans="1:3" ht="15" customHeight="1" x14ac:dyDescent="0.3">
      <c r="A16" s="13" t="s">
        <v>95</v>
      </c>
      <c r="B16" s="1"/>
      <c r="C16" s="1"/>
    </row>
    <row r="17" spans="1:3" ht="15" customHeight="1" x14ac:dyDescent="0.3">
      <c r="B17" s="1"/>
      <c r="C17" s="1"/>
    </row>
    <row r="18" spans="1:3" ht="15" customHeight="1" x14ac:dyDescent="0.3">
      <c r="B18" s="1"/>
      <c r="C18" s="1"/>
    </row>
    <row r="20" spans="1:3" ht="15" customHeight="1" x14ac:dyDescent="0.3">
      <c r="A20" s="17" t="s">
        <v>96</v>
      </c>
    </row>
  </sheetData>
  <mergeCells count="7">
    <mergeCell ref="B8:C8"/>
    <mergeCell ref="B16:C18"/>
    <mergeCell ref="B3:C3"/>
    <mergeCell ref="B4:C4"/>
    <mergeCell ref="B5:C5"/>
    <mergeCell ref="B6:C6"/>
    <mergeCell ref="B7:C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Aforo</vt:lpstr>
      <vt:lpstr>Semaforo</vt:lpstr>
      <vt:lpstr>Resumen</vt:lpstr>
      <vt:lpstr>Hoja_campo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MENDOZA</cp:lastModifiedBy>
  <cp:revision>0</cp:revision>
  <dcterms:created xsi:type="dcterms:W3CDTF">2026-10-20T21:10:37Z</dcterms:created>
  <dcterms:modified xsi:type="dcterms:W3CDTF">2026-10-23T03:13:41Z</dcterms:modified>
  <dc:language>en-US</dc:language>
</cp:coreProperties>
</file>