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foro" sheetId="2" state="visible" r:id="rId4"/>
    <sheet name="Semaforo" sheetId="3" state="visible" r:id="rId5"/>
    <sheet name="Resumen" sheetId="4" state="visible" r:id="rId6"/>
    <sheet name="Hoja_camp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<sst xmlns="http://schemas.openxmlformats.org/spreadsheetml/2006/main" count="107" uniqueCount="89">
  <si>
    <t xml:space="preserve">Planilla de aforo vehicular — Carrera 23 con Diagonal 15, Acacías (Meta)</t>
  </si>
  <si>
    <t xml:space="preserve">Proyecto de grado: sistema de semaforización inteligente. Los datos alimentan los escenarios de simulación en SUMO.</t>
  </si>
  <si>
    <t xml:space="preserve">¿Qué se mide?</t>
  </si>
  <si>
    <t xml:space="preserve">1. Cuántos vehículos llegan al cruce por cada brazo, de qué tipo son y hacia dónde giran (hoja «Aforo»).</t>
  </si>
  <si>
    <t xml:space="preserve">2. Cuánto duran el verde, el amarillo y el rojo del semáforo actual (hoja «Semaforo»).</t>
  </si>
  <si>
    <t xml:space="preserve">Reglas de conteo</t>
  </si>
  <si>
    <t xml:space="preserve">• El BRAZO es por donde LLEGA el vehículo al cruce (no por donde sale).</t>
  </si>
  <si>
    <t xml:space="preserve">• Se cuenta cada vehículo una sola vez, cuando cruza la línea de pare.</t>
  </si>
  <si>
    <t xml:space="preserve">• Giro: Recto o Derecha, desde el punto de vista del conductor que llega. En este cruce el giro a la IZQUIERDA está prohibido en los 4 brazos.</t>
  </si>
  <si>
    <t xml:space="preserve">• Si se observa un giro a la izquierda (infracción), NO se cuenta en la tabla: se anota en «Observaciones» cuántos hubo.</t>
  </si>
  <si>
    <t xml:space="preserve">• Tipos: Carro (automóvil, camioneta, taxi) · Moto · Bus (bus, buseta, microbús) · Camión (camión, volqueta, tractocamión).</t>
  </si>
  <si>
    <t xml:space="preserve">• Bicicletas y peatones no se cuentan (anotar en Observaciones si son muchos).</t>
  </si>
  <si>
    <t xml:space="preserve">• Intervalos de 15 minutos. Mínimo: 15 min por brazo en hora PICO y 15 min en hora VALLE.</t>
  </si>
  <si>
    <t xml:space="preserve">• Anotar la hora real de inicio y fin; si hubo una interrupción, ajustar la columna «Duración (min)».</t>
  </si>
  <si>
    <t xml:space="preserve">Recomendación: grabar video</t>
  </si>
  <si>
    <t xml:space="preserve">• Si es posible, grabar con el celular desde un punto alto y fijo y contar después desde el video (se puede repetir el conteo y verificar).</t>
  </si>
  <si>
    <t xml:space="preserve">• El video sirve además para probar YOLO con tráfico real en la Fase 7.</t>
  </si>
  <si>
    <t xml:space="preserve">• Protección de datos (Ley 1581 de 2012): evitar enfocar rostros y placas; el video NO se publica en el repositorio.</t>
  </si>
  <si>
    <t xml:space="preserve">Cómo llenar el archivo</t>
  </si>
  <si>
    <t xml:space="preserve">• Celdas amarillas = las que se llenan. Celdas grises = fórmulas automáticas (no editar).</t>
  </si>
  <si>
    <t xml:space="preserve">• Hoja «Hoja_campo»: versión para IMPRIMIR y marcar con palitos en el sitio; luego se pasan los totales a «Aforo».</t>
  </si>
  <si>
    <t xml:space="preserve">• La hoja «Resumen» calcula automáticamente vehículos/hora, % por tipo y % por giro para cada brazo y periodo.</t>
  </si>
  <si>
    <t xml:space="preserve">Ejemplo de una fila llenada (solo formato; NO son datos reales)</t>
  </si>
  <si>
    <t xml:space="preserve">Fecha: 2026-10-12 | Día: Lunes | Brazo: Sur (Cra 23) | Periodo: Pico | Inicio: 07:00 | Fin: 07:15 | Duración: 15 | Carro Recto 21, Der 4 | Moto Recto 30, Der 5 | Bus Recto 1 | Camión Recto 2</t>
  </si>
  <si>
    <t xml:space="preserve">Fecha</t>
  </si>
  <si>
    <t xml:space="preserve">Día</t>
  </si>
  <si>
    <t xml:space="preserve">Brazo (llegada)</t>
  </si>
  <si>
    <t xml:space="preserve">Periodo</t>
  </si>
  <si>
    <t xml:space="preserve">Hora inicio</t>
  </si>
  <si>
    <t xml:space="preserve">Hora fin</t>
  </si>
  <si>
    <t xml:space="preserve">Duración (min)</t>
  </si>
  <si>
    <t xml:space="preserve">Carro Recto</t>
  </si>
  <si>
    <t xml:space="preserve">Carro Der</t>
  </si>
  <si>
    <t xml:space="preserve">Moto Recto</t>
  </si>
  <si>
    <t xml:space="preserve">Moto Der</t>
  </si>
  <si>
    <t xml:space="preserve">Bus Recto</t>
  </si>
  <si>
    <t xml:space="preserve">Bus Der</t>
  </si>
  <si>
    <t xml:space="preserve">Camión Recto</t>
  </si>
  <si>
    <t xml:space="preserve">Camión Der</t>
  </si>
  <si>
    <t xml:space="preserve">Total</t>
  </si>
  <si>
    <t xml:space="preserve">Observaciones</t>
  </si>
  <si>
    <t xml:space="preserve">Hora</t>
  </si>
  <si>
    <t xml:space="preserve">Ciclo #</t>
  </si>
  <si>
    <t xml:space="preserve">Vía</t>
  </si>
  <si>
    <t xml:space="preserve">Verde (s)</t>
  </si>
  <si>
    <t xml:space="preserve">Amarillo (s)</t>
  </si>
  <si>
    <t xml:space="preserve">Rojo (s)</t>
  </si>
  <si>
    <t xml:space="preserve">Todo-rojo (s)</t>
  </si>
  <si>
    <t xml:space="preserve">¿Fase o flecha adicional? (Sí/No; describir en Observaciones)</t>
  </si>
  <si>
    <t xml:space="preserve">Duración del ciclo (s)</t>
  </si>
  <si>
    <t xml:space="preserve">Promedios por vía (fórmulas)</t>
  </si>
  <si>
    <t xml:space="preserve">Ciclos medidos</t>
  </si>
  <si>
    <t xml:space="preserve">Carrera 23</t>
  </si>
  <si>
    <t xml:space="preserve">Diagonal 15</t>
  </si>
  <si>
    <t xml:space="preserve">Medir 3–4 ciclos completos por vía con cronómetro. Un ciclo = desde que empieza el verde hasta que vuelve a empezar.</t>
  </si>
  <si>
    <t xml:space="preserve">Resumen automático por brazo y periodo (no editar: todo son fórmulas)</t>
  </si>
  <si>
    <t xml:space="preserve">Brazo</t>
  </si>
  <si>
    <t xml:space="preserve">Minutos contados</t>
  </si>
  <si>
    <t xml:space="preserve">Vehículos contados</t>
  </si>
  <si>
    <t xml:space="preserve">Vehículos/hora</t>
  </si>
  <si>
    <t xml:space="preserve">% Carro</t>
  </si>
  <si>
    <t xml:space="preserve">% Moto</t>
  </si>
  <si>
    <t xml:space="preserve">% Bus</t>
  </si>
  <si>
    <t xml:space="preserve">% Camión</t>
  </si>
  <si>
    <t xml:space="preserve">% Recto</t>
  </si>
  <si>
    <t xml:space="preserve">% Der</t>
  </si>
  <si>
    <t xml:space="preserve">Norte (Cra 23, desde el puente)</t>
  </si>
  <si>
    <t xml:space="preserve">Pico</t>
  </si>
  <si>
    <t xml:space="preserve">Valle</t>
  </si>
  <si>
    <t xml:space="preserve">Sur (Cra 23)</t>
  </si>
  <si>
    <t xml:space="preserve">Este (Dg 15)</t>
  </si>
  <si>
    <t xml:space="preserve">Oeste (Dg 15)</t>
  </si>
  <si>
    <t xml:space="preserve">Vehículos/hora = vehículos contados ÷ minutos contados × 60. Los % se calculan sobre el total del brazo y periodo.</t>
  </si>
  <si>
    <t xml:space="preserve">HOJA DE CAMPO — Aforo Cra 23 × Dg 15, Acacías (marcar con palitos: ||||)</t>
  </si>
  <si>
    <t xml:space="preserve">Fecha:</t>
  </si>
  <si>
    <t xml:space="preserve">Brazo de llegada:</t>
  </si>
  <si>
    <t xml:space="preserve">Periodo (Pico/Valle):</t>
  </si>
  <si>
    <t xml:space="preserve">Hora inicio:</t>
  </si>
  <si>
    <t xml:space="preserve">Hora fin:</t>
  </si>
  <si>
    <t xml:space="preserve">Contador(a):</t>
  </si>
  <si>
    <t xml:space="preserve">Tipo \ Giro</t>
  </si>
  <si>
    <t xml:space="preserve">Recto</t>
  </si>
  <si>
    <t xml:space="preserve">Derecha</t>
  </si>
  <si>
    <t xml:space="preserve">Carro</t>
  </si>
  <si>
    <t xml:space="preserve">Moto</t>
  </si>
  <si>
    <t xml:space="preserve">Bus</t>
  </si>
  <si>
    <t xml:space="preserve">Camión</t>
  </si>
  <si>
    <t xml:space="preserve">Observaciones (giros a la izq. observados, etc.):</t>
  </si>
  <si>
    <t xml:space="preserve">Brazo = por donde LLEGA el vehículo. Contar al cruzar la línea de pare. Giro a la izquierda prohibido: si alguien lo hace, anotarlo en Observaciones. Una hoja por brazo y periodo.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</si>
</sst>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hh:mm"/>
    <numFmt numFmtId="167" formatCode="0.0"/>
    <numFmt numFmtId="168" formatCode="General"/>
    <numFmt numFmtId="169" formatCode="0"/>
    <numFmt numFmtId="170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7" min="4" style="0" width="10"/>
    <col collapsed="false" customWidth="true" hidden="false" outlineLevel="0" max="15" min="8" style="0" width="9"/>
    <col collapsed="false" customWidth="true" hidden="false" outlineLevel="0" max="16" min="16" style="0" width="8"/>
    <col collapsed="false" customWidth="true" hidden="false" outlineLevel="0" max="17" min="17" style="0" width="40"/>
  </cols>
  <sheetData>
    <row r="1" customFormat="false" ht="31.5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</row>
    <row r="2" customFormat="false" ht="15" hidden="false" customHeight="false" outlineLevel="0" collapsed="false">
      <c r="A2" s="6"/>
      <c r="B2" s="7"/>
      <c r="C2" s="7"/>
      <c r="D2" s="7"/>
      <c r="E2" s="8"/>
      <c r="F2" s="8"/>
      <c r="G2" s="7" t="n">
        <v>15</v>
      </c>
      <c r="H2" s="7"/>
      <c r="I2" s="7"/>
      <c r="J2" s="7"/>
      <c r="K2" s="7"/>
      <c r="L2" s="7"/>
      <c r="M2" s="7"/>
      <c r="N2" s="7"/>
      <c r="O2" s="7"/>
      <c r="P2" s="9" t="str">
        <f aca="false">IF(COUNT(H2:O2)=0,"",SUM(H2:O2))</f>
        <v/>
      </c>
      <c r="Q2" s="10"/>
    </row>
    <row r="3" customFormat="false" ht="15" hidden="false" customHeight="false" outlineLevel="0" collapsed="false">
      <c r="A3" s="6"/>
      <c r="B3" s="7"/>
      <c r="C3" s="7"/>
      <c r="D3" s="7"/>
      <c r="E3" s="8"/>
      <c r="F3" s="8"/>
      <c r="G3" s="7" t="n">
        <v>15</v>
      </c>
      <c r="H3" s="7"/>
      <c r="I3" s="7"/>
      <c r="J3" s="7"/>
      <c r="K3" s="7"/>
      <c r="L3" s="7"/>
      <c r="M3" s="7"/>
      <c r="N3" s="7"/>
      <c r="O3" s="7"/>
      <c r="P3" s="9" t="str">
        <f aca="false">IF(COUNT(H3:O3)=0,"",SUM(H3:O3))</f>
        <v/>
      </c>
      <c r="Q3" s="10"/>
    </row>
    <row r="4" customFormat="false" ht="15" hidden="false" customHeight="false" outlineLevel="0" collapsed="false">
      <c r="A4" s="6"/>
      <c r="B4" s="7"/>
      <c r="C4" s="7"/>
      <c r="D4" s="7"/>
      <c r="E4" s="8"/>
      <c r="F4" s="8"/>
      <c r="G4" s="7" t="n">
        <v>15</v>
      </c>
      <c r="H4" s="7"/>
      <c r="I4" s="7"/>
      <c r="J4" s="7"/>
      <c r="K4" s="7"/>
      <c r="L4" s="7"/>
      <c r="M4" s="7"/>
      <c r="N4" s="7"/>
      <c r="O4" s="7"/>
      <c r="P4" s="9" t="str">
        <f aca="false">IF(COUNT(H4:O4)=0,"",SUM(H4:O4))</f>
        <v/>
      </c>
      <c r="Q4" s="10"/>
    </row>
    <row r="5" customFormat="false" ht="15" hidden="false" customHeight="false" outlineLevel="0" collapsed="false">
      <c r="A5" s="6"/>
      <c r="B5" s="7"/>
      <c r="C5" s="7"/>
      <c r="D5" s="7"/>
      <c r="E5" s="8"/>
      <c r="F5" s="8"/>
      <c r="G5" s="7" t="n">
        <v>15</v>
      </c>
      <c r="H5" s="7"/>
      <c r="I5" s="7"/>
      <c r="J5" s="7"/>
      <c r="K5" s="7"/>
      <c r="L5" s="7"/>
      <c r="M5" s="7"/>
      <c r="N5" s="7"/>
      <c r="O5" s="7"/>
      <c r="P5" s="9" t="str">
        <f aca="false">IF(COUNT(H5:O5)=0,"",SUM(H5:O5))</f>
        <v/>
      </c>
      <c r="Q5" s="10"/>
    </row>
    <row r="6" customFormat="false" ht="15" hidden="false" customHeight="false" outlineLevel="0" collapsed="false">
      <c r="A6" s="6"/>
      <c r="B6" s="7"/>
      <c r="C6" s="7"/>
      <c r="D6" s="7"/>
      <c r="E6" s="8"/>
      <c r="F6" s="8"/>
      <c r="G6" s="7" t="n">
        <v>15</v>
      </c>
      <c r="H6" s="7"/>
      <c r="I6" s="7"/>
      <c r="J6" s="7"/>
      <c r="K6" s="7"/>
      <c r="L6" s="7"/>
      <c r="M6" s="7"/>
      <c r="N6" s="7"/>
      <c r="O6" s="7"/>
      <c r="P6" s="9" t="str">
        <f aca="false">IF(COUNT(H6:O6)=0,"",SUM(H6:O6))</f>
        <v/>
      </c>
      <c r="Q6" s="10"/>
    </row>
    <row r="7" customFormat="false" ht="15" hidden="false" customHeight="false" outlineLevel="0" collapsed="false">
      <c r="A7" s="6"/>
      <c r="B7" s="7"/>
      <c r="C7" s="7"/>
      <c r="D7" s="7"/>
      <c r="E7" s="8"/>
      <c r="F7" s="8"/>
      <c r="G7" s="7" t="n">
        <v>15</v>
      </c>
      <c r="H7" s="7"/>
      <c r="I7" s="7"/>
      <c r="J7" s="7"/>
      <c r="K7" s="7"/>
      <c r="L7" s="7"/>
      <c r="M7" s="7"/>
      <c r="N7" s="7"/>
      <c r="O7" s="7"/>
      <c r="P7" s="9" t="str">
        <f aca="false">IF(COUNT(H7:O7)=0,"",SUM(H7:O7))</f>
        <v/>
      </c>
      <c r="Q7" s="10"/>
    </row>
    <row r="8" customFormat="false" ht="15" hidden="false" customHeight="false" outlineLevel="0" collapsed="false">
      <c r="A8" s="6"/>
      <c r="B8" s="7"/>
      <c r="C8" s="7"/>
      <c r="D8" s="7"/>
      <c r="E8" s="8"/>
      <c r="F8" s="8"/>
      <c r="G8" s="7" t="n">
        <v>15</v>
      </c>
      <c r="H8" s="7"/>
      <c r="I8" s="7"/>
      <c r="J8" s="7"/>
      <c r="K8" s="7"/>
      <c r="L8" s="7"/>
      <c r="M8" s="7"/>
      <c r="N8" s="7"/>
      <c r="O8" s="7"/>
      <c r="P8" s="9" t="str">
        <f aca="false">IF(COUNT(H8:O8)=0,"",SUM(H8:O8))</f>
        <v/>
      </c>
      <c r="Q8" s="10"/>
    </row>
    <row r="9" customFormat="false" ht="15" hidden="false" customHeight="false" outlineLevel="0" collapsed="false">
      <c r="A9" s="6"/>
      <c r="B9" s="7"/>
      <c r="C9" s="7"/>
      <c r="D9" s="7"/>
      <c r="E9" s="8"/>
      <c r="F9" s="8"/>
      <c r="G9" s="7" t="n">
        <v>15</v>
      </c>
      <c r="H9" s="7"/>
      <c r="I9" s="7"/>
      <c r="J9" s="7"/>
      <c r="K9" s="7"/>
      <c r="L9" s="7"/>
      <c r="M9" s="7"/>
      <c r="N9" s="7"/>
      <c r="O9" s="7"/>
      <c r="P9" s="9" t="str">
        <f aca="false">IF(COUNT(H9:O9)=0,"",SUM(H9:O9))</f>
        <v/>
      </c>
      <c r="Q9" s="10"/>
    </row>
    <row r="10" customFormat="false" ht="15" hidden="false" customHeight="false" outlineLevel="0" collapsed="false">
      <c r="A10" s="6"/>
      <c r="B10" s="7"/>
      <c r="C10" s="7"/>
      <c r="D10" s="7"/>
      <c r="E10" s="8"/>
      <c r="F10" s="8"/>
      <c r="G10" s="7" t="n">
        <v>15</v>
      </c>
      <c r="H10" s="7"/>
      <c r="I10" s="7"/>
      <c r="J10" s="7"/>
      <c r="K10" s="7"/>
      <c r="L10" s="7"/>
      <c r="M10" s="7"/>
      <c r="N10" s="7"/>
      <c r="O10" s="7"/>
      <c r="P10" s="9" t="str">
        <f aca="false">IF(COUNT(H10:O10)=0,"",SUM(H10:O10))</f>
        <v/>
      </c>
      <c r="Q10" s="10"/>
    </row>
    <row r="11" customFormat="false" ht="15" hidden="false" customHeight="false" outlineLevel="0" collapsed="false">
      <c r="A11" s="6"/>
      <c r="B11" s="7"/>
      <c r="C11" s="7"/>
      <c r="D11" s="7"/>
      <c r="E11" s="8"/>
      <c r="F11" s="8"/>
      <c r="G11" s="7" t="n">
        <v>15</v>
      </c>
      <c r="H11" s="7"/>
      <c r="I11" s="7"/>
      <c r="J11" s="7"/>
      <c r="K11" s="7"/>
      <c r="L11" s="7"/>
      <c r="M11" s="7"/>
      <c r="N11" s="7"/>
      <c r="O11" s="7"/>
      <c r="P11" s="9" t="str">
        <f aca="false">IF(COUNT(H11:O11)=0,"",SUM(H11:O11))</f>
        <v/>
      </c>
      <c r="Q11" s="10"/>
    </row>
    <row r="12" customFormat="false" ht="15" hidden="false" customHeight="false" outlineLevel="0" collapsed="false">
      <c r="A12" s="6"/>
      <c r="B12" s="7"/>
      <c r="C12" s="7"/>
      <c r="D12" s="7"/>
      <c r="E12" s="8"/>
      <c r="F12" s="8"/>
      <c r="G12" s="7" t="n">
        <v>15</v>
      </c>
      <c r="H12" s="7"/>
      <c r="I12" s="7"/>
      <c r="J12" s="7"/>
      <c r="K12" s="7"/>
      <c r="L12" s="7"/>
      <c r="M12" s="7"/>
      <c r="N12" s="7"/>
      <c r="O12" s="7"/>
      <c r="P12" s="9" t="str">
        <f aca="false">IF(COUNT(H12:O12)=0,"",SUM(H12:O12))</f>
        <v/>
      </c>
      <c r="Q12" s="10"/>
    </row>
    <row r="13" customFormat="false" ht="15" hidden="false" customHeight="false" outlineLevel="0" collapsed="false">
      <c r="A13" s="6"/>
      <c r="B13" s="7"/>
      <c r="C13" s="7"/>
      <c r="D13" s="7"/>
      <c r="E13" s="8"/>
      <c r="F13" s="8"/>
      <c r="G13" s="7" t="n">
        <v>15</v>
      </c>
      <c r="H13" s="7"/>
      <c r="I13" s="7"/>
      <c r="J13" s="7"/>
      <c r="K13" s="7"/>
      <c r="L13" s="7"/>
      <c r="M13" s="7"/>
      <c r="N13" s="7"/>
      <c r="O13" s="7"/>
      <c r="P13" s="9" t="str">
        <f aca="false">IF(COUNT(H13:O13)=0,"",SUM(H13:O13))</f>
        <v/>
      </c>
      <c r="Q13" s="10"/>
    </row>
    <row r="14" customFormat="false" ht="15" hidden="false" customHeight="false" outlineLevel="0" collapsed="false">
      <c r="A14" s="6"/>
      <c r="B14" s="7"/>
      <c r="C14" s="7"/>
      <c r="D14" s="7"/>
      <c r="E14" s="8"/>
      <c r="F14" s="8"/>
      <c r="G14" s="7" t="n">
        <v>15</v>
      </c>
      <c r="H14" s="7"/>
      <c r="I14" s="7"/>
      <c r="J14" s="7"/>
      <c r="K14" s="7"/>
      <c r="L14" s="7"/>
      <c r="M14" s="7"/>
      <c r="N14" s="7"/>
      <c r="O14" s="7"/>
      <c r="P14" s="9" t="str">
        <f aca="false">IF(COUNT(H14:O14)=0,"",SUM(H14:O14))</f>
        <v/>
      </c>
      <c r="Q14" s="10"/>
    </row>
    <row r="15" customFormat="false" ht="15" hidden="false" customHeight="false" outlineLevel="0" collapsed="false">
      <c r="A15" s="6"/>
      <c r="B15" s="7"/>
      <c r="C15" s="7"/>
      <c r="D15" s="7"/>
      <c r="E15" s="8"/>
      <c r="F15" s="8"/>
      <c r="G15" s="7" t="n">
        <v>15</v>
      </c>
      <c r="H15" s="7"/>
      <c r="I15" s="7"/>
      <c r="J15" s="7"/>
      <c r="K15" s="7"/>
      <c r="L15" s="7"/>
      <c r="M15" s="7"/>
      <c r="N15" s="7"/>
      <c r="O15" s="7"/>
      <c r="P15" s="9" t="str">
        <f aca="false">IF(COUNT(H15:O15)=0,"",SUM(H15:O15))</f>
        <v/>
      </c>
      <c r="Q15" s="10"/>
    </row>
    <row r="16" customFormat="false" ht="15" hidden="false" customHeight="false" outlineLevel="0" collapsed="false">
      <c r="A16" s="6"/>
      <c r="B16" s="7"/>
      <c r="C16" s="7"/>
      <c r="D16" s="7"/>
      <c r="E16" s="8"/>
      <c r="F16" s="8"/>
      <c r="G16" s="7" t="n">
        <v>15</v>
      </c>
      <c r="H16" s="7"/>
      <c r="I16" s="7"/>
      <c r="J16" s="7"/>
      <c r="K16" s="7"/>
      <c r="L16" s="7"/>
      <c r="M16" s="7"/>
      <c r="N16" s="7"/>
      <c r="O16" s="7"/>
      <c r="P16" s="9" t="str">
        <f aca="false">IF(COUNT(H16:O16)=0,"",SUM(H16:O16))</f>
        <v/>
      </c>
      <c r="Q16" s="10"/>
    </row>
    <row r="17" customFormat="false" ht="15" hidden="false" customHeight="false" outlineLevel="0" collapsed="false">
      <c r="A17" s="6"/>
      <c r="B17" s="7"/>
      <c r="C17" s="7"/>
      <c r="D17" s="7"/>
      <c r="E17" s="8"/>
      <c r="F17" s="8"/>
      <c r="G17" s="7" t="n">
        <v>15</v>
      </c>
      <c r="H17" s="7"/>
      <c r="I17" s="7"/>
      <c r="J17" s="7"/>
      <c r="K17" s="7"/>
      <c r="L17" s="7"/>
      <c r="M17" s="7"/>
      <c r="N17" s="7"/>
      <c r="O17" s="7"/>
      <c r="P17" s="9" t="str">
        <f aca="false">IF(COUNT(H17:O17)=0,"",SUM(H17:O17))</f>
        <v/>
      </c>
      <c r="Q17" s="10"/>
    </row>
    <row r="18" customFormat="false" ht="15" hidden="false" customHeight="false" outlineLevel="0" collapsed="false">
      <c r="A18" s="6"/>
      <c r="B18" s="7"/>
      <c r="C18" s="7"/>
      <c r="D18" s="7"/>
      <c r="E18" s="8"/>
      <c r="F18" s="8"/>
      <c r="G18" s="7" t="n">
        <v>15</v>
      </c>
      <c r="H18" s="7"/>
      <c r="I18" s="7"/>
      <c r="J18" s="7"/>
      <c r="K18" s="7"/>
      <c r="L18" s="7"/>
      <c r="M18" s="7"/>
      <c r="N18" s="7"/>
      <c r="O18" s="7"/>
      <c r="P18" s="9" t="str">
        <f aca="false">IF(COUNT(H18:O18)=0,"",SUM(H18:O18))</f>
        <v/>
      </c>
      <c r="Q18" s="10"/>
    </row>
    <row r="19" customFormat="false" ht="15" hidden="false" customHeight="false" outlineLevel="0" collapsed="false">
      <c r="A19" s="6"/>
      <c r="B19" s="7"/>
      <c r="C19" s="7"/>
      <c r="D19" s="7"/>
      <c r="E19" s="8"/>
      <c r="F19" s="8"/>
      <c r="G19" s="7" t="n">
        <v>15</v>
      </c>
      <c r="H19" s="7"/>
      <c r="I19" s="7"/>
      <c r="J19" s="7"/>
      <c r="K19" s="7"/>
      <c r="L19" s="7"/>
      <c r="M19" s="7"/>
      <c r="N19" s="7"/>
      <c r="O19" s="7"/>
      <c r="P19" s="9" t="str">
        <f aca="false">IF(COUNT(H19:O19)=0,"",SUM(H19:O19))</f>
        <v/>
      </c>
      <c r="Q19" s="10"/>
    </row>
    <row r="20" customFormat="false" ht="15" hidden="false" customHeight="false" outlineLevel="0" collapsed="false">
      <c r="A20" s="6"/>
      <c r="B20" s="7"/>
      <c r="C20" s="7"/>
      <c r="D20" s="7"/>
      <c r="E20" s="8"/>
      <c r="F20" s="8"/>
      <c r="G20" s="7" t="n">
        <v>15</v>
      </c>
      <c r="H20" s="7"/>
      <c r="I20" s="7"/>
      <c r="J20" s="7"/>
      <c r="K20" s="7"/>
      <c r="L20" s="7"/>
      <c r="M20" s="7"/>
      <c r="N20" s="7"/>
      <c r="O20" s="7"/>
      <c r="P20" s="9" t="str">
        <f aca="false">IF(COUNT(H20:O20)=0,"",SUM(H20:O20))</f>
        <v/>
      </c>
      <c r="Q20" s="10"/>
    </row>
    <row r="21" customFormat="false" ht="15" hidden="false" customHeight="false" outlineLevel="0" collapsed="false">
      <c r="A21" s="6"/>
      <c r="B21" s="7"/>
      <c r="C21" s="7"/>
      <c r="D21" s="7"/>
      <c r="E21" s="8"/>
      <c r="F21" s="8"/>
      <c r="G21" s="7" t="n">
        <v>15</v>
      </c>
      <c r="H21" s="7"/>
      <c r="I21" s="7"/>
      <c r="J21" s="7"/>
      <c r="K21" s="7"/>
      <c r="L21" s="7"/>
      <c r="M21" s="7"/>
      <c r="N21" s="7"/>
      <c r="O21" s="7"/>
      <c r="P21" s="9" t="str">
        <f aca="false">IF(COUNT(H21:O21)=0,"",SUM(H21:O21))</f>
        <v/>
      </c>
      <c r="Q21" s="10"/>
    </row>
    <row r="22" customFormat="false" ht="15" hidden="false" customHeight="false" outlineLevel="0" collapsed="false">
      <c r="A22" s="6"/>
      <c r="B22" s="7"/>
      <c r="C22" s="7"/>
      <c r="D22" s="7"/>
      <c r="E22" s="8"/>
      <c r="F22" s="8"/>
      <c r="G22" s="7" t="n">
        <v>15</v>
      </c>
      <c r="H22" s="7"/>
      <c r="I22" s="7"/>
      <c r="J22" s="7"/>
      <c r="K22" s="7"/>
      <c r="L22" s="7"/>
      <c r="M22" s="7"/>
      <c r="N22" s="7"/>
      <c r="O22" s="7"/>
      <c r="P22" s="9" t="str">
        <f aca="false">IF(COUNT(H22:O22)=0,"",SUM(H22:O22))</f>
        <v/>
      </c>
      <c r="Q22" s="10"/>
    </row>
    <row r="23" customFormat="false" ht="15" hidden="false" customHeight="false" outlineLevel="0" collapsed="false">
      <c r="A23" s="6"/>
      <c r="B23" s="7"/>
      <c r="C23" s="7"/>
      <c r="D23" s="7"/>
      <c r="E23" s="8"/>
      <c r="F23" s="8"/>
      <c r="G23" s="7" t="n">
        <v>15</v>
      </c>
      <c r="H23" s="7"/>
      <c r="I23" s="7"/>
      <c r="J23" s="7"/>
      <c r="K23" s="7"/>
      <c r="L23" s="7"/>
      <c r="M23" s="7"/>
      <c r="N23" s="7"/>
      <c r="O23" s="7"/>
      <c r="P23" s="9" t="str">
        <f aca="false">IF(COUNT(H23:O23)=0,"",SUM(H23:O23))</f>
        <v/>
      </c>
      <c r="Q23" s="10"/>
    </row>
    <row r="24" customFormat="false" ht="15" hidden="false" customHeight="false" outlineLevel="0" collapsed="false">
      <c r="A24" s="6"/>
      <c r="B24" s="7"/>
      <c r="C24" s="7"/>
      <c r="D24" s="7"/>
      <c r="E24" s="8"/>
      <c r="F24" s="8"/>
      <c r="G24" s="7" t="n">
        <v>15</v>
      </c>
      <c r="H24" s="7"/>
      <c r="I24" s="7"/>
      <c r="J24" s="7"/>
      <c r="K24" s="7"/>
      <c r="L24" s="7"/>
      <c r="M24" s="7"/>
      <c r="N24" s="7"/>
      <c r="O24" s="7"/>
      <c r="P24" s="9" t="str">
        <f aca="false">IF(COUNT(H24:O24)=0,"",SUM(H24:O24))</f>
        <v/>
      </c>
      <c r="Q24" s="10"/>
    </row>
    <row r="25" customFormat="false" ht="15" hidden="false" customHeight="false" outlineLevel="0" collapsed="false">
      <c r="A25" s="6"/>
      <c r="B25" s="7"/>
      <c r="C25" s="7"/>
      <c r="D25" s="7"/>
      <c r="E25" s="8"/>
      <c r="F25" s="8"/>
      <c r="G25" s="7" t="n">
        <v>15</v>
      </c>
      <c r="H25" s="7"/>
      <c r="I25" s="7"/>
      <c r="J25" s="7"/>
      <c r="K25" s="7"/>
      <c r="L25" s="7"/>
      <c r="M25" s="7"/>
      <c r="N25" s="7"/>
      <c r="O25" s="7"/>
      <c r="P25" s="9" t="str">
        <f aca="false">IF(COUNT(H25:O25)=0,"",SUM(H25:O25))</f>
        <v/>
      </c>
      <c r="Q25" s="10"/>
    </row>
    <row r="26" customFormat="false" ht="15" hidden="false" customHeight="false" outlineLevel="0" collapsed="false">
      <c r="A26" s="6"/>
      <c r="B26" s="7"/>
      <c r="C26" s="7"/>
      <c r="D26" s="7"/>
      <c r="E26" s="8"/>
      <c r="F26" s="8"/>
      <c r="G26" s="7" t="n">
        <v>15</v>
      </c>
      <c r="H26" s="7"/>
      <c r="I26" s="7"/>
      <c r="J26" s="7"/>
      <c r="K26" s="7"/>
      <c r="L26" s="7"/>
      <c r="M26" s="7"/>
      <c r="N26" s="7"/>
      <c r="O26" s="7"/>
      <c r="P26" s="9" t="str">
        <f aca="false">IF(COUNT(H26:O26)=0,"",SUM(H26:O26))</f>
        <v/>
      </c>
      <c r="Q26" s="10"/>
    </row>
    <row r="27" customFormat="false" ht="15" hidden="false" customHeight="false" outlineLevel="0" collapsed="false">
      <c r="A27" s="6"/>
      <c r="B27" s="7"/>
      <c r="C27" s="7"/>
      <c r="D27" s="7"/>
      <c r="E27" s="8"/>
      <c r="F27" s="8"/>
      <c r="G27" s="7" t="n">
        <v>15</v>
      </c>
      <c r="H27" s="7"/>
      <c r="I27" s="7"/>
      <c r="J27" s="7"/>
      <c r="K27" s="7"/>
      <c r="L27" s="7"/>
      <c r="M27" s="7"/>
      <c r="N27" s="7"/>
      <c r="O27" s="7"/>
      <c r="P27" s="9" t="str">
        <f aca="false">IF(COUNT(H27:O27)=0,"",SUM(H27:O27))</f>
        <v/>
      </c>
      <c r="Q27" s="10"/>
    </row>
    <row r="28" customFormat="false" ht="15" hidden="false" customHeight="false" outlineLevel="0" collapsed="false">
      <c r="A28" s="6"/>
      <c r="B28" s="7"/>
      <c r="C28" s="7"/>
      <c r="D28" s="7"/>
      <c r="E28" s="8"/>
      <c r="F28" s="8"/>
      <c r="G28" s="7" t="n">
        <v>15</v>
      </c>
      <c r="H28" s="7"/>
      <c r="I28" s="7"/>
      <c r="J28" s="7"/>
      <c r="K28" s="7"/>
      <c r="L28" s="7"/>
      <c r="M28" s="7"/>
      <c r="N28" s="7"/>
      <c r="O28" s="7"/>
      <c r="P28" s="9" t="str">
        <f aca="false">IF(COUNT(H28:O28)=0,"",SUM(H28:O28))</f>
        <v/>
      </c>
      <c r="Q28" s="10"/>
    </row>
    <row r="29" customFormat="false" ht="15" hidden="false" customHeight="false" outlineLevel="0" collapsed="false">
      <c r="A29" s="6"/>
      <c r="B29" s="7"/>
      <c r="C29" s="7"/>
      <c r="D29" s="7"/>
      <c r="E29" s="8"/>
      <c r="F29" s="8"/>
      <c r="G29" s="7" t="n">
        <v>15</v>
      </c>
      <c r="H29" s="7"/>
      <c r="I29" s="7"/>
      <c r="J29" s="7"/>
      <c r="K29" s="7"/>
      <c r="L29" s="7"/>
      <c r="M29" s="7"/>
      <c r="N29" s="7"/>
      <c r="O29" s="7"/>
      <c r="P29" s="9" t="str">
        <f aca="false">IF(COUNT(H29:O29)=0,"",SUM(H29:O29))</f>
        <v/>
      </c>
      <c r="Q29" s="10"/>
    </row>
    <row r="30" customFormat="false" ht="15" hidden="false" customHeight="false" outlineLevel="0" collapsed="false">
      <c r="A30" s="6"/>
      <c r="B30" s="7"/>
      <c r="C30" s="7"/>
      <c r="D30" s="7"/>
      <c r="E30" s="8"/>
      <c r="F30" s="8"/>
      <c r="G30" s="7" t="n">
        <v>15</v>
      </c>
      <c r="H30" s="7"/>
      <c r="I30" s="7"/>
      <c r="J30" s="7"/>
      <c r="K30" s="7"/>
      <c r="L30" s="7"/>
      <c r="M30" s="7"/>
      <c r="N30" s="7"/>
      <c r="O30" s="7"/>
      <c r="P30" s="9" t="str">
        <f aca="false">IF(COUNT(H30:O30)=0,"",SUM(H30:O30))</f>
        <v/>
      </c>
      <c r="Q30" s="10"/>
    </row>
    <row r="31" customFormat="false" ht="15" hidden="false" customHeight="false" outlineLevel="0" collapsed="false">
      <c r="A31" s="6"/>
      <c r="B31" s="7"/>
      <c r="C31" s="7"/>
      <c r="D31" s="7"/>
      <c r="E31" s="8"/>
      <c r="F31" s="8"/>
      <c r="G31" s="7" t="n">
        <v>15</v>
      </c>
      <c r="H31" s="7"/>
      <c r="I31" s="7"/>
      <c r="J31" s="7"/>
      <c r="K31" s="7"/>
      <c r="L31" s="7"/>
      <c r="M31" s="7"/>
      <c r="N31" s="7"/>
      <c r="O31" s="7"/>
      <c r="P31" s="9" t="str">
        <f aca="false">IF(COUNT(H31:O31)=0,"",SUM(H31:O31))</f>
        <v/>
      </c>
      <c r="Q31" s="10"/>
    </row>
    <row r="32" customFormat="false" ht="15" hidden="false" customHeight="false" outlineLevel="0" collapsed="false">
      <c r="A32" s="6"/>
      <c r="B32" s="7"/>
      <c r="C32" s="7"/>
      <c r="D32" s="7"/>
      <c r="E32" s="8"/>
      <c r="F32" s="8"/>
      <c r="G32" s="7" t="n">
        <v>15</v>
      </c>
      <c r="H32" s="7"/>
      <c r="I32" s="7"/>
      <c r="J32" s="7"/>
      <c r="K32" s="7"/>
      <c r="L32" s="7"/>
      <c r="M32" s="7"/>
      <c r="N32" s="7"/>
      <c r="O32" s="7"/>
      <c r="P32" s="9" t="str">
        <f aca="false">IF(COUNT(H32:O32)=0,"",SUM(H32:O32))</f>
        <v/>
      </c>
      <c r="Q32" s="10"/>
    </row>
    <row r="33" customFormat="false" ht="15" hidden="false" customHeight="false" outlineLevel="0" collapsed="false">
      <c r="A33" s="6"/>
      <c r="B33" s="7"/>
      <c r="C33" s="7"/>
      <c r="D33" s="7"/>
      <c r="E33" s="8"/>
      <c r="F33" s="8"/>
      <c r="G33" s="7" t="n">
        <v>15</v>
      </c>
      <c r="H33" s="7"/>
      <c r="I33" s="7"/>
      <c r="J33" s="7"/>
      <c r="K33" s="7"/>
      <c r="L33" s="7"/>
      <c r="M33" s="7"/>
      <c r="N33" s="7"/>
      <c r="O33" s="7"/>
      <c r="P33" s="9" t="str">
        <f aca="false">IF(COUNT(H33:O33)=0,"",SUM(H33:O33))</f>
        <v/>
      </c>
      <c r="Q33" s="10"/>
    </row>
    <row r="34" customFormat="false" ht="15" hidden="false" customHeight="false" outlineLevel="0" collapsed="false">
      <c r="A34" s="6"/>
      <c r="B34" s="7"/>
      <c r="C34" s="7"/>
      <c r="D34" s="7"/>
      <c r="E34" s="8"/>
      <c r="F34" s="8"/>
      <c r="G34" s="7" t="n">
        <v>15</v>
      </c>
      <c r="H34" s="7"/>
      <c r="I34" s="7"/>
      <c r="J34" s="7"/>
      <c r="K34" s="7"/>
      <c r="L34" s="7"/>
      <c r="M34" s="7"/>
      <c r="N34" s="7"/>
      <c r="O34" s="7"/>
      <c r="P34" s="9" t="str">
        <f aca="false">IF(COUNT(H34:O34)=0,"",SUM(H34:O34))</f>
        <v/>
      </c>
      <c r="Q34" s="10"/>
    </row>
    <row r="35" customFormat="false" ht="15" hidden="false" customHeight="false" outlineLevel="0" collapsed="false">
      <c r="A35" s="6"/>
      <c r="B35" s="7"/>
      <c r="C35" s="7"/>
      <c r="D35" s="7"/>
      <c r="E35" s="8"/>
      <c r="F35" s="8"/>
      <c r="G35" s="7" t="n">
        <v>15</v>
      </c>
      <c r="H35" s="7"/>
      <c r="I35" s="7"/>
      <c r="J35" s="7"/>
      <c r="K35" s="7"/>
      <c r="L35" s="7"/>
      <c r="M35" s="7"/>
      <c r="N35" s="7"/>
      <c r="O35" s="7"/>
      <c r="P35" s="9" t="str">
        <f aca="false">IF(COUNT(H35:O35)=0,"",SUM(H35:O35))</f>
        <v/>
      </c>
      <c r="Q35" s="10"/>
    </row>
    <row r="36" customFormat="false" ht="15" hidden="false" customHeight="false" outlineLevel="0" collapsed="false">
      <c r="A36" s="6"/>
      <c r="B36" s="7"/>
      <c r="C36" s="7"/>
      <c r="D36" s="7"/>
      <c r="E36" s="8"/>
      <c r="F36" s="8"/>
      <c r="G36" s="7" t="n">
        <v>15</v>
      </c>
      <c r="H36" s="7"/>
      <c r="I36" s="7"/>
      <c r="J36" s="7"/>
      <c r="K36" s="7"/>
      <c r="L36" s="7"/>
      <c r="M36" s="7"/>
      <c r="N36" s="7"/>
      <c r="O36" s="7"/>
      <c r="P36" s="9" t="str">
        <f aca="false">IF(COUNT(H36:O36)=0,"",SUM(H36:O36))</f>
        <v/>
      </c>
      <c r="Q36" s="10"/>
    </row>
    <row r="37" customFormat="false" ht="15" hidden="false" customHeight="false" outlineLevel="0" collapsed="false">
      <c r="A37" s="6"/>
      <c r="B37" s="7"/>
      <c r="C37" s="7"/>
      <c r="D37" s="7"/>
      <c r="E37" s="8"/>
      <c r="F37" s="8"/>
      <c r="G37" s="7" t="n">
        <v>15</v>
      </c>
      <c r="H37" s="7"/>
      <c r="I37" s="7"/>
      <c r="J37" s="7"/>
      <c r="K37" s="7"/>
      <c r="L37" s="7"/>
      <c r="M37" s="7"/>
      <c r="N37" s="7"/>
      <c r="O37" s="7"/>
      <c r="P37" s="9" t="str">
        <f aca="false">IF(COUNT(H37:O37)=0,"",SUM(H37:O37))</f>
        <v/>
      </c>
      <c r="Q37" s="10"/>
    </row>
    <row r="38" customFormat="false" ht="15" hidden="false" customHeight="false" outlineLevel="0" collapsed="false">
      <c r="A38" s="6"/>
      <c r="B38" s="7"/>
      <c r="C38" s="7"/>
      <c r="D38" s="7"/>
      <c r="E38" s="8"/>
      <c r="F38" s="8"/>
      <c r="G38" s="7" t="n">
        <v>15</v>
      </c>
      <c r="H38" s="7"/>
      <c r="I38" s="7"/>
      <c r="J38" s="7"/>
      <c r="K38" s="7"/>
      <c r="L38" s="7"/>
      <c r="M38" s="7"/>
      <c r="N38" s="7"/>
      <c r="O38" s="7"/>
      <c r="P38" s="9" t="str">
        <f aca="false">IF(COUNT(H38:O38)=0,"",SUM(H38:O38))</f>
        <v/>
      </c>
      <c r="Q38" s="10"/>
    </row>
    <row r="39" customFormat="false" ht="15" hidden="false" customHeight="false" outlineLevel="0" collapsed="false">
      <c r="A39" s="6"/>
      <c r="B39" s="7"/>
      <c r="C39" s="7"/>
      <c r="D39" s="7"/>
      <c r="E39" s="8"/>
      <c r="F39" s="8"/>
      <c r="G39" s="7" t="n">
        <v>15</v>
      </c>
      <c r="H39" s="7"/>
      <c r="I39" s="7"/>
      <c r="J39" s="7"/>
      <c r="K39" s="7"/>
      <c r="L39" s="7"/>
      <c r="M39" s="7"/>
      <c r="N39" s="7"/>
      <c r="O39" s="7"/>
      <c r="P39" s="9" t="str">
        <f aca="false">IF(COUNT(H39:O39)=0,"",SUM(H39:O39))</f>
        <v/>
      </c>
      <c r="Q39" s="10"/>
    </row>
    <row r="40" customFormat="false" ht="15" hidden="false" customHeight="false" outlineLevel="0" collapsed="false">
      <c r="A40" s="6"/>
      <c r="B40" s="7"/>
      <c r="C40" s="7"/>
      <c r="D40" s="7"/>
      <c r="E40" s="8"/>
      <c r="F40" s="8"/>
      <c r="G40" s="7" t="n">
        <v>15</v>
      </c>
      <c r="H40" s="7"/>
      <c r="I40" s="7"/>
      <c r="J40" s="7"/>
      <c r="K40" s="7"/>
      <c r="L40" s="7"/>
      <c r="M40" s="7"/>
      <c r="N40" s="7"/>
      <c r="O40" s="7"/>
      <c r="P40" s="9" t="str">
        <f aca="false">IF(COUNT(H40:O40)=0,"",SUM(H40:O40))</f>
        <v/>
      </c>
      <c r="Q40" s="10"/>
    </row>
    <row r="41" customFormat="false" ht="15" hidden="false" customHeight="false" outlineLevel="0" collapsed="false">
      <c r="A41" s="6"/>
      <c r="B41" s="7"/>
      <c r="C41" s="7"/>
      <c r="D41" s="7"/>
      <c r="E41" s="8"/>
      <c r="F41" s="8"/>
      <c r="G41" s="7" t="n">
        <v>15</v>
      </c>
      <c r="H41" s="7"/>
      <c r="I41" s="7"/>
      <c r="J41" s="7"/>
      <c r="K41" s="7"/>
      <c r="L41" s="7"/>
      <c r="M41" s="7"/>
      <c r="N41" s="7"/>
      <c r="O41" s="7"/>
      <c r="P41" s="9" t="str">
        <f aca="false">IF(COUNT(H41:O41)=0,"",SUM(H41:O41))</f>
        <v/>
      </c>
      <c r="Q41" s="10"/>
    </row>
  </sheetData>
  <dataValidations count="4">
    <dataValidation allowBlank="true" errorStyle="stop" operator="between" showDropDown="false" showErrorMessage="false" showInputMessage="false" sqref="C2:C41" type="list">
      <formula1>"Norte (Cra 23,desde el puente),Sur (Cra 23),Este (Dg 15),Oeste (Dg 15)"</formula1>
      <formula2>0</formula2>
    </dataValidation>
    <dataValidation allowBlank="true" errorStyle="stop" operator="between" showDropDown="false" showErrorMessage="false" showInputMessage="false" sqref="D2:D41" type="list">
      <formula1>"Pico,Valle"</formula1>
      <formula2>0</formula2>
    </dataValidation>
    <dataValidation allowBlank="true" errorStyle="stop" operator="between" showDropDown="false" showErrorMessage="false" showInputMessage="false" sqref="B2:B41" type="list">
      <formula1>"Lunes,Martes,Miércoles,Jueves,Viernes,Sábado,Domingo"</formula1>
      <formula2>0</formula2>
    </dataValidation>
    <dataValidation allowBlank="true" errorStyle="stop" operator="greaterThanOrEqual" showDropDown="false" showErrorMessage="false" showInputMessage="false" sqref="H2:O4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45" hidden="false" customHeight="true" outlineLevel="0" collapsed="false">
      <c r="A1" s="5" t="s">
        <v>24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40</v>
      </c>
    </row>
    <row r="2" customFormat="false" ht="15" hidden="false" customHeight="false" outlineLevel="0" collapsed="false">
      <c r="A2" s="6"/>
      <c r="B2" s="8"/>
      <c r="C2" s="7"/>
      <c r="D2" s="7"/>
      <c r="E2" s="7"/>
      <c r="F2" s="7"/>
      <c r="G2" s="7"/>
      <c r="H2" s="7"/>
      <c r="I2" s="7"/>
      <c r="J2" s="9" t="str">
        <f aca="false">IF(COUNT(E2:G2)=0,"",SUM(E2:G2))</f>
        <v/>
      </c>
      <c r="K2" s="7"/>
    </row>
    <row r="3" customFormat="false" ht="15" hidden="false" customHeight="false" outlineLevel="0" collapsed="false">
      <c r="A3" s="6"/>
      <c r="B3" s="8"/>
      <c r="C3" s="7"/>
      <c r="D3" s="7"/>
      <c r="E3" s="7"/>
      <c r="F3" s="7"/>
      <c r="G3" s="7"/>
      <c r="H3" s="7"/>
      <c r="I3" s="7"/>
      <c r="J3" s="9" t="str">
        <f aca="false">IF(COUNT(E3:G3)=0,"",SUM(E3:G3))</f>
        <v/>
      </c>
      <c r="K3" s="7"/>
    </row>
    <row r="4" customFormat="false" ht="15" hidden="false" customHeight="false" outlineLevel="0" collapsed="false">
      <c r="A4" s="6"/>
      <c r="B4" s="8"/>
      <c r="C4" s="7"/>
      <c r="D4" s="7"/>
      <c r="E4" s="7"/>
      <c r="F4" s="7"/>
      <c r="G4" s="7"/>
      <c r="H4" s="7"/>
      <c r="I4" s="7"/>
      <c r="J4" s="9" t="str">
        <f aca="false">IF(COUNT(E4:G4)=0,"",SUM(E4:G4))</f>
        <v/>
      </c>
      <c r="K4" s="7"/>
    </row>
    <row r="5" customFormat="false" ht="15" hidden="false" customHeight="false" outlineLevel="0" collapsed="false">
      <c r="A5" s="6"/>
      <c r="B5" s="8"/>
      <c r="C5" s="7"/>
      <c r="D5" s="7"/>
      <c r="E5" s="7"/>
      <c r="F5" s="7"/>
      <c r="G5" s="7"/>
      <c r="H5" s="7"/>
      <c r="I5" s="7"/>
      <c r="J5" s="9" t="str">
        <f aca="false">IF(COUNT(E5:G5)=0,"",SUM(E5:G5))</f>
        <v/>
      </c>
      <c r="K5" s="7"/>
    </row>
    <row r="6" customFormat="false" ht="15" hidden="false" customHeight="false" outlineLevel="0" collapsed="false">
      <c r="A6" s="6"/>
      <c r="B6" s="8"/>
      <c r="C6" s="7"/>
      <c r="D6" s="7"/>
      <c r="E6" s="7"/>
      <c r="F6" s="7"/>
      <c r="G6" s="7"/>
      <c r="H6" s="7"/>
      <c r="I6" s="7"/>
      <c r="J6" s="9" t="str">
        <f aca="false">IF(COUNT(E6:G6)=0,"",SUM(E6:G6))</f>
        <v/>
      </c>
      <c r="K6" s="7"/>
    </row>
    <row r="7" customFormat="false" ht="15" hidden="false" customHeight="false" outlineLevel="0" collapsed="false">
      <c r="A7" s="6"/>
      <c r="B7" s="8"/>
      <c r="C7" s="7"/>
      <c r="D7" s="7"/>
      <c r="E7" s="7"/>
      <c r="F7" s="7"/>
      <c r="G7" s="7"/>
      <c r="H7" s="7"/>
      <c r="I7" s="7"/>
      <c r="J7" s="9" t="str">
        <f aca="false">IF(COUNT(E7:G7)=0,"",SUM(E7:G7))</f>
        <v/>
      </c>
      <c r="K7" s="7"/>
    </row>
    <row r="8" customFormat="false" ht="15" hidden="false" customHeight="false" outlineLevel="0" collapsed="false">
      <c r="A8" s="6"/>
      <c r="B8" s="8"/>
      <c r="C8" s="7"/>
      <c r="D8" s="7"/>
      <c r="E8" s="7"/>
      <c r="F8" s="7"/>
      <c r="G8" s="7"/>
      <c r="H8" s="7"/>
      <c r="I8" s="7"/>
      <c r="J8" s="9" t="str">
        <f aca="false">IF(COUNT(E8:G8)=0,"",SUM(E8:G8))</f>
        <v/>
      </c>
      <c r="K8" s="7"/>
    </row>
    <row r="9" customFormat="false" ht="15" hidden="false" customHeight="false" outlineLevel="0" collapsed="false">
      <c r="A9" s="6"/>
      <c r="B9" s="8"/>
      <c r="C9" s="7"/>
      <c r="D9" s="7"/>
      <c r="E9" s="7"/>
      <c r="F9" s="7"/>
      <c r="G9" s="7"/>
      <c r="H9" s="7"/>
      <c r="I9" s="7"/>
      <c r="J9" s="9" t="str">
        <f aca="false">IF(COUNT(E9:G9)=0,"",SUM(E9:G9))</f>
        <v/>
      </c>
      <c r="K9" s="7"/>
    </row>
    <row r="10" customFormat="false" ht="15" hidden="false" customHeight="false" outlineLevel="0" collapsed="false">
      <c r="A10" s="6"/>
      <c r="B10" s="8"/>
      <c r="C10" s="7"/>
      <c r="D10" s="7"/>
      <c r="E10" s="7"/>
      <c r="F10" s="7"/>
      <c r="G10" s="7"/>
      <c r="H10" s="7"/>
      <c r="I10" s="7"/>
      <c r="J10" s="9" t="str">
        <f aca="false">IF(COUNT(E10:G10)=0,"",SUM(E10:G10))</f>
        <v/>
      </c>
      <c r="K10" s="7"/>
    </row>
    <row r="11" customFormat="false" ht="15" hidden="false" customHeight="false" outlineLevel="0" collapsed="false">
      <c r="A11" s="6"/>
      <c r="B11" s="8"/>
      <c r="C11" s="7"/>
      <c r="D11" s="7"/>
      <c r="E11" s="7"/>
      <c r="F11" s="7"/>
      <c r="G11" s="7"/>
      <c r="H11" s="7"/>
      <c r="I11" s="7"/>
      <c r="J11" s="9" t="str">
        <f aca="false">IF(COUNT(E11:G11)=0,"",SUM(E11:G11))</f>
        <v/>
      </c>
      <c r="K11" s="7"/>
    </row>
    <row r="12" customFormat="false" ht="15" hidden="false" customHeight="false" outlineLevel="0" collapsed="false">
      <c r="A12" s="6"/>
      <c r="B12" s="8"/>
      <c r="C12" s="7"/>
      <c r="D12" s="7"/>
      <c r="E12" s="7"/>
      <c r="F12" s="7"/>
      <c r="G12" s="7"/>
      <c r="H12" s="7"/>
      <c r="I12" s="7"/>
      <c r="J12" s="9" t="str">
        <f aca="false">IF(COUNT(E12:G12)=0,"",SUM(E12:G12))</f>
        <v/>
      </c>
      <c r="K12" s="7"/>
    </row>
    <row r="13" customFormat="false" ht="15" hidden="false" customHeight="false" outlineLevel="0" collapsed="false">
      <c r="A13" s="6"/>
      <c r="B13" s="8"/>
      <c r="C13" s="7"/>
      <c r="D13" s="7"/>
      <c r="E13" s="7"/>
      <c r="F13" s="7"/>
      <c r="G13" s="7"/>
      <c r="H13" s="7"/>
      <c r="I13" s="7"/>
      <c r="J13" s="9" t="str">
        <f aca="false">IF(COUNT(E13:G13)=0,"",SUM(E13:G13))</f>
        <v/>
      </c>
      <c r="K13" s="7"/>
    </row>
    <row r="14" customFormat="false" ht="15" hidden="false" customHeight="false" outlineLevel="0" collapsed="false">
      <c r="A14" s="6"/>
      <c r="B14" s="8"/>
      <c r="C14" s="7"/>
      <c r="D14" s="7"/>
      <c r="E14" s="7"/>
      <c r="F14" s="7"/>
      <c r="G14" s="7"/>
      <c r="H14" s="7"/>
      <c r="I14" s="7"/>
      <c r="J14" s="9" t="str">
        <f aca="false">IF(COUNT(E14:G14)=0,"",SUM(E14:G14))</f>
        <v/>
      </c>
      <c r="K14" s="7"/>
    </row>
    <row r="15" customFormat="false" ht="15" hidden="false" customHeight="false" outlineLevel="0" collapsed="false">
      <c r="A15" s="6"/>
      <c r="B15" s="8"/>
      <c r="C15" s="7"/>
      <c r="D15" s="7"/>
      <c r="E15" s="7"/>
      <c r="F15" s="7"/>
      <c r="G15" s="7"/>
      <c r="H15" s="7"/>
      <c r="I15" s="7"/>
      <c r="J15" s="9" t="str">
        <f aca="false">IF(COUNT(E15:G15)=0,"",SUM(E15:G15))</f>
        <v/>
      </c>
      <c r="K15" s="7"/>
    </row>
    <row r="16" customFormat="false" ht="15" hidden="false" customHeight="false" outlineLevel="0" collapsed="false">
      <c r="A16" s="6"/>
      <c r="B16" s="8"/>
      <c r="C16" s="7"/>
      <c r="D16" s="7"/>
      <c r="E16" s="7"/>
      <c r="F16" s="7"/>
      <c r="G16" s="7"/>
      <c r="H16" s="7"/>
      <c r="I16" s="7"/>
      <c r="J16" s="9" t="str">
        <f aca="false">IF(COUNT(E16:G16)=0,"",SUM(E16:G16))</f>
        <v/>
      </c>
      <c r="K16" s="7"/>
    </row>
    <row r="17" customFormat="false" ht="15" hidden="false" customHeight="false" outlineLevel="0" collapsed="false">
      <c r="A17" s="6"/>
      <c r="B17" s="8"/>
      <c r="C17" s="7"/>
      <c r="D17" s="7"/>
      <c r="E17" s="7"/>
      <c r="F17" s="7"/>
      <c r="G17" s="7"/>
      <c r="H17" s="7"/>
      <c r="I17" s="7"/>
      <c r="J17" s="9" t="str">
        <f aca="false">IF(COUNT(E17:G17)=0,"",SUM(E17:G17))</f>
        <v/>
      </c>
      <c r="K17" s="7"/>
    </row>
    <row r="19" customFormat="false" ht="15" hidden="false" customHeight="false" outlineLevel="0" collapsed="false">
      <c r="A19" s="11" t="s">
        <v>50</v>
      </c>
    </row>
    <row r="20" customFormat="false" ht="23.85" hidden="false" customHeight="false" outlineLevel="0" collapsed="false">
      <c r="A20" s="5" t="s">
        <v>43</v>
      </c>
      <c r="B20" s="5" t="s">
        <v>44</v>
      </c>
      <c r="C20" s="5" t="s">
        <v>45</v>
      </c>
      <c r="D20" s="5" t="s">
        <v>46</v>
      </c>
      <c r="E20" s="5" t="s">
        <v>47</v>
      </c>
      <c r="F20" s="5" t="s">
        <v>51</v>
      </c>
    </row>
    <row r="21" customFormat="false" ht="15" hidden="false" customHeight="false" outlineLevel="0" collapsed="false">
      <c r="A21" s="12" t="s">
        <v>52</v>
      </c>
      <c r="B21" s="13" t="str">
        <f aca="false">IFERROR(AVERAGEIFS(E$2:E$17,$D$2:$D$17,$A21),"")</f>
        <v/>
      </c>
      <c r="C21" s="13" t="str">
        <f aca="false">IFERROR(AVERAGEIFS(F$2:F$17,$D$2:$D$17,$A21),"")</f>
        <v/>
      </c>
      <c r="D21" s="13" t="str">
        <f aca="false">IFERROR(AVERAGEIFS(G$2:G$17,$D$2:$D$17,$A21),"")</f>
        <v/>
      </c>
      <c r="E21" s="13" t="str">
        <f aca="false">IFERROR(AVERAGEIFS(H$2:H$17,$D$2:$D$17,$A21),"")</f>
        <v/>
      </c>
      <c r="F21" s="14" t="n">
        <f aca="false">COUNTIFS($D$2:$D$17,$A21,$E$2:$E$17,"&lt;&gt;")</f>
        <v>0</v>
      </c>
    </row>
    <row r="22" customFormat="false" ht="15" hidden="false" customHeight="false" outlineLevel="0" collapsed="false">
      <c r="A22" s="12" t="s">
        <v>53</v>
      </c>
      <c r="B22" s="13" t="str">
        <f aca="false">IFERROR(AVERAGEIFS(E$2:E$17,$D$2:$D$17,$A22),"")</f>
        <v/>
      </c>
      <c r="C22" s="13" t="str">
        <f aca="false">IFERROR(AVERAGEIFS(F$2:F$17,$D$2:$D$17,$A22),"")</f>
        <v/>
      </c>
      <c r="D22" s="13" t="str">
        <f aca="false">IFERROR(AVERAGEIFS(G$2:G$17,$D$2:$D$17,$A22),"")</f>
        <v/>
      </c>
      <c r="E22" s="13" t="str">
        <f aca="false">IFERROR(AVERAGEIFS(H$2:H$17,$D$2:$D$17,$A22),"")</f>
        <v/>
      </c>
      <c r="F22" s="14" t="n">
        <f aca="false">COUNTIFS($D$2:$D$17,$A22,$E$2:$E$17,"&lt;&gt;")</f>
        <v>0</v>
      </c>
    </row>
    <row r="24" customFormat="false" ht="15" hidden="false" customHeight="false" outlineLevel="0" collapsed="false">
      <c r="A24" s="15" t="s">
        <v>54</v>
      </c>
    </row>
  </sheetData>
  <dataValidations count="2">
    <dataValidation allowBlank="true" errorStyle="stop" operator="between" showDropDown="false" showErrorMessage="false" showInputMessage="false" sqref="D2:D17" type="list">
      <formula1>"Carrera 23,Diagonal 15"</formula1>
      <formula2>0</formula2>
    </dataValidation>
    <dataValidation allowBlank="true" errorStyle="stop" operator="between" showDropDown="false" showErrorMessage="false" showInputMessage="false" sqref="I2:I17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11" min="6" style="0" width="9"/>
  </cols>
  <sheetData>
    <row r="1" customFormat="false" ht="15" hidden="false" customHeight="false" outlineLevel="0" collapsed="false">
      <c r="A1" s="16" t="s">
        <v>55</v>
      </c>
    </row>
    <row r="3" customFormat="false" ht="30" hidden="false" customHeight="true" outlineLevel="0" collapsed="false">
      <c r="A3" s="5" t="s">
        <v>56</v>
      </c>
      <c r="B3" s="5" t="s">
        <v>27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65</v>
      </c>
    </row>
    <row r="4" customFormat="false" ht="15" hidden="false" customHeight="false" outlineLevel="0" collapsed="false">
      <c r="A4" s="12" t="s">
        <v>66</v>
      </c>
      <c r="B4" s="12" t="s">
        <v>67</v>
      </c>
      <c r="C4" s="9" t="n">
        <f aca="false">SUMIFS(Aforo!$G$2:$G$41,Aforo!$C$2:$C$41,$A4,Aforo!$D$2:$D$41,$B4)</f>
        <v>0</v>
      </c>
      <c r="D4" s="9" t="n">
        <f aca="false">SUMIFS(Aforo!$P$2:$P$41,Aforo!$C$2:$C$41,$A4,Aforo!$D$2:$D$41,$B4)</f>
        <v>0</v>
      </c>
      <c r="E4" s="17" t="str">
        <f aca="false">IF(C4=0,"",D4/C4*60)</f>
        <v/>
      </c>
      <c r="F4" s="18" t="str">
        <f aca="false">IF(D4=0,"",(SUMIFS(Aforo!$H$2:$H$41,Aforo!$C$2:$C$41,$A4,Aforo!$D$2:$D$41,$B4)+SUMIFS(Aforo!$I$2:$I$41,Aforo!$C$2:$C$41,$A4,Aforo!$D$2:$D$41,$B4))/D4)</f>
        <v/>
      </c>
      <c r="G4" s="18" t="str">
        <f aca="false">IF(D4=0,"",(SUMIFS(Aforo!$J$2:$J$41,Aforo!$C$2:$C$41,$A4,Aforo!$D$2:$D$41,$B4)+SUMIFS(Aforo!$K$2:$K$41,Aforo!$C$2:$C$41,$A4,Aforo!$D$2:$D$41,$B4))/D4)</f>
        <v/>
      </c>
      <c r="H4" s="18" t="str">
        <f aca="false">IF(D4=0,"",(SUMIFS(Aforo!$L$2:$L$41,Aforo!$C$2:$C$41,$A4,Aforo!$D$2:$D$41,$B4)+SUMIFS(Aforo!$M$2:$M$41,Aforo!$C$2:$C$41,$A4,Aforo!$D$2:$D$41,$B4))/D4)</f>
        <v/>
      </c>
      <c r="I4" s="18" t="str">
        <f aca="false">IF(D4=0,"",(SUMIFS(Aforo!$N$2:$N$41,Aforo!$C$2:$C$41,$A4,Aforo!$D$2:$D$41,$B4)+SUMIFS(Aforo!$O$2:$O$41,Aforo!$C$2:$C$41,$A4,Aforo!$D$2:$D$41,$B4))/D4)</f>
        <v/>
      </c>
      <c r="J4" s="18" t="str">
        <f aca="false">IF(D4=0,"",(SUMIFS(Aforo!$H$2:$H$41,Aforo!$C$2:$C$41,$A4,Aforo!$D$2:$D$41,$B4)+SUMIFS(Aforo!$J$2:$J$41,Aforo!$C$2:$C$41,$A4,Aforo!$D$2:$D$41,$B4)+SUMIFS(Aforo!$L$2:$L$41,Aforo!$C$2:$C$41,$A4,Aforo!$D$2:$D$41,$B4)+SUMIFS(Aforo!$N$2:$N$41,Aforo!$C$2:$C$41,$A4,Aforo!$D$2:$D$41,$B4))/D4)</f>
        <v/>
      </c>
      <c r="K4" s="18" t="str">
        <f aca="false">IF(D4=0,"",(SUMIFS(Aforo!$I$2:$I$41,Aforo!$C$2:$C$41,$A4,Aforo!$D$2:$D$41,$B4)+SUMIFS(Aforo!$K$2:$K$41,Aforo!$C$2:$C$41,$A4,Aforo!$D$2:$D$41,$B4)+SUMIFS(Aforo!$M$2:$M$41,Aforo!$C$2:$C$41,$A4,Aforo!$D$2:$D$41,$B4)+SUMIFS(Aforo!$O$2:$O$41,Aforo!$C$2:$C$41,$A4,Aforo!$D$2:$D$41,$B4))/D4)</f>
        <v/>
      </c>
    </row>
    <row r="5" customFormat="false" ht="15" hidden="false" customHeight="false" outlineLevel="0" collapsed="false">
      <c r="A5" s="12" t="s">
        <v>66</v>
      </c>
      <c r="B5" s="12" t="s">
        <v>68</v>
      </c>
      <c r="C5" s="9" t="n">
        <f aca="false">SUMIFS(Aforo!$G$2:$G$41,Aforo!$C$2:$C$41,$A5,Aforo!$D$2:$D$41,$B5)</f>
        <v>0</v>
      </c>
      <c r="D5" s="9" t="n">
        <f aca="false">SUMIFS(Aforo!$P$2:$P$41,Aforo!$C$2:$C$41,$A5,Aforo!$D$2:$D$41,$B5)</f>
        <v>0</v>
      </c>
      <c r="E5" s="17" t="str">
        <f aca="false">IF(C5=0,"",D5/C5*60)</f>
        <v/>
      </c>
      <c r="F5" s="18" t="str">
        <f aca="false">IF(D5=0,"",(SUMIFS(Aforo!$H$2:$H$41,Aforo!$C$2:$C$41,$A5,Aforo!$D$2:$D$41,$B5)+SUMIFS(Aforo!$I$2:$I$41,Aforo!$C$2:$C$41,$A5,Aforo!$D$2:$D$41,$B5))/D5)</f>
        <v/>
      </c>
      <c r="G5" s="18" t="str">
        <f aca="false">IF(D5=0,"",(SUMIFS(Aforo!$J$2:$J$41,Aforo!$C$2:$C$41,$A5,Aforo!$D$2:$D$41,$B5)+SUMIFS(Aforo!$K$2:$K$41,Aforo!$C$2:$C$41,$A5,Aforo!$D$2:$D$41,$B5))/D5)</f>
        <v/>
      </c>
      <c r="H5" s="18" t="str">
        <f aca="false">IF(D5=0,"",(SUMIFS(Aforo!$L$2:$L$41,Aforo!$C$2:$C$41,$A5,Aforo!$D$2:$D$41,$B5)+SUMIFS(Aforo!$M$2:$M$41,Aforo!$C$2:$C$41,$A5,Aforo!$D$2:$D$41,$B5))/D5)</f>
        <v/>
      </c>
      <c r="I5" s="18" t="str">
        <f aca="false">IF(D5=0,"",(SUMIFS(Aforo!$N$2:$N$41,Aforo!$C$2:$C$41,$A5,Aforo!$D$2:$D$41,$B5)+SUMIFS(Aforo!$O$2:$O$41,Aforo!$C$2:$C$41,$A5,Aforo!$D$2:$D$41,$B5))/D5)</f>
        <v/>
      </c>
      <c r="J5" s="18" t="str">
        <f aca="false">IF(D5=0,"",(SUMIFS(Aforo!$H$2:$H$41,Aforo!$C$2:$C$41,$A5,Aforo!$D$2:$D$41,$B5)+SUMIFS(Aforo!$J$2:$J$41,Aforo!$C$2:$C$41,$A5,Aforo!$D$2:$D$41,$B5)+SUMIFS(Aforo!$L$2:$L$41,Aforo!$C$2:$C$41,$A5,Aforo!$D$2:$D$41,$B5)+SUMIFS(Aforo!$N$2:$N$41,Aforo!$C$2:$C$41,$A5,Aforo!$D$2:$D$41,$B5))/D5)</f>
        <v/>
      </c>
      <c r="K5" s="18" t="str">
        <f aca="false">IF(D5=0,"",(SUMIFS(Aforo!$I$2:$I$41,Aforo!$C$2:$C$41,$A5,Aforo!$D$2:$D$41,$B5)+SUMIFS(Aforo!$K$2:$K$41,Aforo!$C$2:$C$41,$A5,Aforo!$D$2:$D$41,$B5)+SUMIFS(Aforo!$M$2:$M$41,Aforo!$C$2:$C$41,$A5,Aforo!$D$2:$D$41,$B5)+SUMIFS(Aforo!$O$2:$O$41,Aforo!$C$2:$C$41,$A5,Aforo!$D$2:$D$41,$B5))/D5)</f>
        <v/>
      </c>
    </row>
    <row r="6" customFormat="false" ht="15" hidden="false" customHeight="false" outlineLevel="0" collapsed="false">
      <c r="A6" s="12" t="s">
        <v>69</v>
      </c>
      <c r="B6" s="12" t="s">
        <v>67</v>
      </c>
      <c r="C6" s="9" t="n">
        <f aca="false">SUMIFS(Aforo!$G$2:$G$41,Aforo!$C$2:$C$41,$A6,Aforo!$D$2:$D$41,$B6)</f>
        <v>0</v>
      </c>
      <c r="D6" s="9" t="n">
        <f aca="false">SUMIFS(Aforo!$P$2:$P$41,Aforo!$C$2:$C$41,$A6,Aforo!$D$2:$D$41,$B6)</f>
        <v>0</v>
      </c>
      <c r="E6" s="17" t="str">
        <f aca="false">IF(C6=0,"",D6/C6*60)</f>
        <v/>
      </c>
      <c r="F6" s="18" t="str">
        <f aca="false">IF(D6=0,"",(SUMIFS(Aforo!$H$2:$H$41,Aforo!$C$2:$C$41,$A6,Aforo!$D$2:$D$41,$B6)+SUMIFS(Aforo!$I$2:$I$41,Aforo!$C$2:$C$41,$A6,Aforo!$D$2:$D$41,$B6))/D6)</f>
        <v/>
      </c>
      <c r="G6" s="18" t="str">
        <f aca="false">IF(D6=0,"",(SUMIFS(Aforo!$J$2:$J$41,Aforo!$C$2:$C$41,$A6,Aforo!$D$2:$D$41,$B6)+SUMIFS(Aforo!$K$2:$K$41,Aforo!$C$2:$C$41,$A6,Aforo!$D$2:$D$41,$B6))/D6)</f>
        <v/>
      </c>
      <c r="H6" s="18" t="str">
        <f aca="false">IF(D6=0,"",(SUMIFS(Aforo!$L$2:$L$41,Aforo!$C$2:$C$41,$A6,Aforo!$D$2:$D$41,$B6)+SUMIFS(Aforo!$M$2:$M$41,Aforo!$C$2:$C$41,$A6,Aforo!$D$2:$D$41,$B6))/D6)</f>
        <v/>
      </c>
      <c r="I6" s="18" t="str">
        <f aca="false">IF(D6=0,"",(SUMIFS(Aforo!$N$2:$N$41,Aforo!$C$2:$C$41,$A6,Aforo!$D$2:$D$41,$B6)+SUMIFS(Aforo!$O$2:$O$41,Aforo!$C$2:$C$41,$A6,Aforo!$D$2:$D$41,$B6))/D6)</f>
        <v/>
      </c>
      <c r="J6" s="18" t="str">
        <f aca="false">IF(D6=0,"",(SUMIFS(Aforo!$H$2:$H$41,Aforo!$C$2:$C$41,$A6,Aforo!$D$2:$D$41,$B6)+SUMIFS(Aforo!$J$2:$J$41,Aforo!$C$2:$C$41,$A6,Aforo!$D$2:$D$41,$B6)+SUMIFS(Aforo!$L$2:$L$41,Aforo!$C$2:$C$41,$A6,Aforo!$D$2:$D$41,$B6)+SUMIFS(Aforo!$N$2:$N$41,Aforo!$C$2:$C$41,$A6,Aforo!$D$2:$D$41,$B6))/D6)</f>
        <v/>
      </c>
      <c r="K6" s="18" t="str">
        <f aca="false">IF(D6=0,"",(SUMIFS(Aforo!$I$2:$I$41,Aforo!$C$2:$C$41,$A6,Aforo!$D$2:$D$41,$B6)+SUMIFS(Aforo!$K$2:$K$41,Aforo!$C$2:$C$41,$A6,Aforo!$D$2:$D$41,$B6)+SUMIFS(Aforo!$M$2:$M$41,Aforo!$C$2:$C$41,$A6,Aforo!$D$2:$D$41,$B6)+SUMIFS(Aforo!$O$2:$O$41,Aforo!$C$2:$C$41,$A6,Aforo!$D$2:$D$41,$B6))/D6)</f>
        <v/>
      </c>
    </row>
    <row r="7" customFormat="false" ht="15" hidden="false" customHeight="false" outlineLevel="0" collapsed="false">
      <c r="A7" s="12" t="s">
        <v>69</v>
      </c>
      <c r="B7" s="12" t="s">
        <v>68</v>
      </c>
      <c r="C7" s="9" t="n">
        <f aca="false">SUMIFS(Aforo!$G$2:$G$41,Aforo!$C$2:$C$41,$A7,Aforo!$D$2:$D$41,$B7)</f>
        <v>0</v>
      </c>
      <c r="D7" s="9" t="n">
        <f aca="false">SUMIFS(Aforo!$P$2:$P$41,Aforo!$C$2:$C$41,$A7,Aforo!$D$2:$D$41,$B7)</f>
        <v>0</v>
      </c>
      <c r="E7" s="17" t="str">
        <f aca="false">IF(C7=0,"",D7/C7*60)</f>
        <v/>
      </c>
      <c r="F7" s="18" t="str">
        <f aca="false">IF(D7=0,"",(SUMIFS(Aforo!$H$2:$H$41,Aforo!$C$2:$C$41,$A7,Aforo!$D$2:$D$41,$B7)+SUMIFS(Aforo!$I$2:$I$41,Aforo!$C$2:$C$41,$A7,Aforo!$D$2:$D$41,$B7))/D7)</f>
        <v/>
      </c>
      <c r="G7" s="18" t="str">
        <f aca="false">IF(D7=0,"",(SUMIFS(Aforo!$J$2:$J$41,Aforo!$C$2:$C$41,$A7,Aforo!$D$2:$D$41,$B7)+SUMIFS(Aforo!$K$2:$K$41,Aforo!$C$2:$C$41,$A7,Aforo!$D$2:$D$41,$B7))/D7)</f>
        <v/>
      </c>
      <c r="H7" s="18" t="str">
        <f aca="false">IF(D7=0,"",(SUMIFS(Aforo!$L$2:$L$41,Aforo!$C$2:$C$41,$A7,Aforo!$D$2:$D$41,$B7)+SUMIFS(Aforo!$M$2:$M$41,Aforo!$C$2:$C$41,$A7,Aforo!$D$2:$D$41,$B7))/D7)</f>
        <v/>
      </c>
      <c r="I7" s="18" t="str">
        <f aca="false">IF(D7=0,"",(SUMIFS(Aforo!$N$2:$N$41,Aforo!$C$2:$C$41,$A7,Aforo!$D$2:$D$41,$B7)+SUMIFS(Aforo!$O$2:$O$41,Aforo!$C$2:$C$41,$A7,Aforo!$D$2:$D$41,$B7))/D7)</f>
        <v/>
      </c>
      <c r="J7" s="18" t="str">
        <f aca="false">IF(D7=0,"",(SUMIFS(Aforo!$H$2:$H$41,Aforo!$C$2:$C$41,$A7,Aforo!$D$2:$D$41,$B7)+SUMIFS(Aforo!$J$2:$J$41,Aforo!$C$2:$C$41,$A7,Aforo!$D$2:$D$41,$B7)+SUMIFS(Aforo!$L$2:$L$41,Aforo!$C$2:$C$41,$A7,Aforo!$D$2:$D$41,$B7)+SUMIFS(Aforo!$N$2:$N$41,Aforo!$C$2:$C$41,$A7,Aforo!$D$2:$D$41,$B7))/D7)</f>
        <v/>
      </c>
      <c r="K7" s="18" t="str">
        <f aca="false">IF(D7=0,"",(SUMIFS(Aforo!$I$2:$I$41,Aforo!$C$2:$C$41,$A7,Aforo!$D$2:$D$41,$B7)+SUMIFS(Aforo!$K$2:$K$41,Aforo!$C$2:$C$41,$A7,Aforo!$D$2:$D$41,$B7)+SUMIFS(Aforo!$M$2:$M$41,Aforo!$C$2:$C$41,$A7,Aforo!$D$2:$D$41,$B7)+SUMIFS(Aforo!$O$2:$O$41,Aforo!$C$2:$C$41,$A7,Aforo!$D$2:$D$41,$B7))/D7)</f>
        <v/>
      </c>
    </row>
    <row r="8" customFormat="false" ht="15" hidden="false" customHeight="false" outlineLevel="0" collapsed="false">
      <c r="A8" s="12" t="s">
        <v>70</v>
      </c>
      <c r="B8" s="12" t="s">
        <v>67</v>
      </c>
      <c r="C8" s="9" t="n">
        <f aca="false">SUMIFS(Aforo!$G$2:$G$41,Aforo!$C$2:$C$41,$A8,Aforo!$D$2:$D$41,$B8)</f>
        <v>0</v>
      </c>
      <c r="D8" s="9" t="n">
        <f aca="false">SUMIFS(Aforo!$P$2:$P$41,Aforo!$C$2:$C$41,$A8,Aforo!$D$2:$D$41,$B8)</f>
        <v>0</v>
      </c>
      <c r="E8" s="17" t="str">
        <f aca="false">IF(C8=0,"",D8/C8*60)</f>
        <v/>
      </c>
      <c r="F8" s="18" t="str">
        <f aca="false">IF(D8=0,"",(SUMIFS(Aforo!$H$2:$H$41,Aforo!$C$2:$C$41,$A8,Aforo!$D$2:$D$41,$B8)+SUMIFS(Aforo!$I$2:$I$41,Aforo!$C$2:$C$41,$A8,Aforo!$D$2:$D$41,$B8))/D8)</f>
        <v/>
      </c>
      <c r="G8" s="18" t="str">
        <f aca="false">IF(D8=0,"",(SUMIFS(Aforo!$J$2:$J$41,Aforo!$C$2:$C$41,$A8,Aforo!$D$2:$D$41,$B8)+SUMIFS(Aforo!$K$2:$K$41,Aforo!$C$2:$C$41,$A8,Aforo!$D$2:$D$41,$B8))/D8)</f>
        <v/>
      </c>
      <c r="H8" s="18" t="str">
        <f aca="false">IF(D8=0,"",(SUMIFS(Aforo!$L$2:$L$41,Aforo!$C$2:$C$41,$A8,Aforo!$D$2:$D$41,$B8)+SUMIFS(Aforo!$M$2:$M$41,Aforo!$C$2:$C$41,$A8,Aforo!$D$2:$D$41,$B8))/D8)</f>
        <v/>
      </c>
      <c r="I8" s="18" t="str">
        <f aca="false">IF(D8=0,"",(SUMIFS(Aforo!$N$2:$N$41,Aforo!$C$2:$C$41,$A8,Aforo!$D$2:$D$41,$B8)+SUMIFS(Aforo!$O$2:$O$41,Aforo!$C$2:$C$41,$A8,Aforo!$D$2:$D$41,$B8))/D8)</f>
        <v/>
      </c>
      <c r="J8" s="18" t="str">
        <f aca="false">IF(D8=0,"",(SUMIFS(Aforo!$H$2:$H$41,Aforo!$C$2:$C$41,$A8,Aforo!$D$2:$D$41,$B8)+SUMIFS(Aforo!$J$2:$J$41,Aforo!$C$2:$C$41,$A8,Aforo!$D$2:$D$41,$B8)+SUMIFS(Aforo!$L$2:$L$41,Aforo!$C$2:$C$41,$A8,Aforo!$D$2:$D$41,$B8)+SUMIFS(Aforo!$N$2:$N$41,Aforo!$C$2:$C$41,$A8,Aforo!$D$2:$D$41,$B8))/D8)</f>
        <v/>
      </c>
      <c r="K8" s="18" t="str">
        <f aca="false">IF(D8=0,"",(SUMIFS(Aforo!$I$2:$I$41,Aforo!$C$2:$C$41,$A8,Aforo!$D$2:$D$41,$B8)+SUMIFS(Aforo!$K$2:$K$41,Aforo!$C$2:$C$41,$A8,Aforo!$D$2:$D$41,$B8)+SUMIFS(Aforo!$M$2:$M$41,Aforo!$C$2:$C$41,$A8,Aforo!$D$2:$D$41,$B8)+SUMIFS(Aforo!$O$2:$O$41,Aforo!$C$2:$C$41,$A8,Aforo!$D$2:$D$41,$B8))/D8)</f>
        <v/>
      </c>
    </row>
    <row r="9" customFormat="false" ht="15" hidden="false" customHeight="false" outlineLevel="0" collapsed="false">
      <c r="A9" s="12" t="s">
        <v>70</v>
      </c>
      <c r="B9" s="12" t="s">
        <v>68</v>
      </c>
      <c r="C9" s="9" t="n">
        <f aca="false">SUMIFS(Aforo!$G$2:$G$41,Aforo!$C$2:$C$41,$A9,Aforo!$D$2:$D$41,$B9)</f>
        <v>0</v>
      </c>
      <c r="D9" s="9" t="n">
        <f aca="false">SUMIFS(Aforo!$P$2:$P$41,Aforo!$C$2:$C$41,$A9,Aforo!$D$2:$D$41,$B9)</f>
        <v>0</v>
      </c>
      <c r="E9" s="17" t="str">
        <f aca="false">IF(C9=0,"",D9/C9*60)</f>
        <v/>
      </c>
      <c r="F9" s="18" t="str">
        <f aca="false">IF(D9=0,"",(SUMIFS(Aforo!$H$2:$H$41,Aforo!$C$2:$C$41,$A9,Aforo!$D$2:$D$41,$B9)+SUMIFS(Aforo!$I$2:$I$41,Aforo!$C$2:$C$41,$A9,Aforo!$D$2:$D$41,$B9))/D9)</f>
        <v/>
      </c>
      <c r="G9" s="18" t="str">
        <f aca="false">IF(D9=0,"",(SUMIFS(Aforo!$J$2:$J$41,Aforo!$C$2:$C$41,$A9,Aforo!$D$2:$D$41,$B9)+SUMIFS(Aforo!$K$2:$K$41,Aforo!$C$2:$C$41,$A9,Aforo!$D$2:$D$41,$B9))/D9)</f>
        <v/>
      </c>
      <c r="H9" s="18" t="str">
        <f aca="false">IF(D9=0,"",(SUMIFS(Aforo!$L$2:$L$41,Aforo!$C$2:$C$41,$A9,Aforo!$D$2:$D$41,$B9)+SUMIFS(Aforo!$M$2:$M$41,Aforo!$C$2:$C$41,$A9,Aforo!$D$2:$D$41,$B9))/D9)</f>
        <v/>
      </c>
      <c r="I9" s="18" t="str">
        <f aca="false">IF(D9=0,"",(SUMIFS(Aforo!$N$2:$N$41,Aforo!$C$2:$C$41,$A9,Aforo!$D$2:$D$41,$B9)+SUMIFS(Aforo!$O$2:$O$41,Aforo!$C$2:$C$41,$A9,Aforo!$D$2:$D$41,$B9))/D9)</f>
        <v/>
      </c>
      <c r="J9" s="18" t="str">
        <f aca="false">IF(D9=0,"",(SUMIFS(Aforo!$H$2:$H$41,Aforo!$C$2:$C$41,$A9,Aforo!$D$2:$D$41,$B9)+SUMIFS(Aforo!$J$2:$J$41,Aforo!$C$2:$C$41,$A9,Aforo!$D$2:$D$41,$B9)+SUMIFS(Aforo!$L$2:$L$41,Aforo!$C$2:$C$41,$A9,Aforo!$D$2:$D$41,$B9)+SUMIFS(Aforo!$N$2:$N$41,Aforo!$C$2:$C$41,$A9,Aforo!$D$2:$D$41,$B9))/D9)</f>
        <v/>
      </c>
      <c r="K9" s="18" t="str">
        <f aca="false">IF(D9=0,"",(SUMIFS(Aforo!$I$2:$I$41,Aforo!$C$2:$C$41,$A9,Aforo!$D$2:$D$41,$B9)+SUMIFS(Aforo!$K$2:$K$41,Aforo!$C$2:$C$41,$A9,Aforo!$D$2:$D$41,$B9)+SUMIFS(Aforo!$M$2:$M$41,Aforo!$C$2:$C$41,$A9,Aforo!$D$2:$D$41,$B9)+SUMIFS(Aforo!$O$2:$O$41,Aforo!$C$2:$C$41,$A9,Aforo!$D$2:$D$41,$B9))/D9)</f>
        <v/>
      </c>
    </row>
    <row r="10" customFormat="false" ht="15" hidden="false" customHeight="false" outlineLevel="0" collapsed="false">
      <c r="A10" s="12" t="s">
        <v>71</v>
      </c>
      <c r="B10" s="12" t="s">
        <v>67</v>
      </c>
      <c r="C10" s="9" t="n">
        <f aca="false">SUMIFS(Aforo!$G$2:$G$41,Aforo!$C$2:$C$41,$A10,Aforo!$D$2:$D$41,$B10)</f>
        <v>0</v>
      </c>
      <c r="D10" s="9" t="n">
        <f aca="false">SUMIFS(Aforo!$P$2:$P$41,Aforo!$C$2:$C$41,$A10,Aforo!$D$2:$D$41,$B10)</f>
        <v>0</v>
      </c>
      <c r="E10" s="17" t="str">
        <f aca="false">IF(C10=0,"",D10/C10*60)</f>
        <v/>
      </c>
      <c r="F10" s="18" t="str">
        <f aca="false">IF(D10=0,"",(SUMIFS(Aforo!$H$2:$H$41,Aforo!$C$2:$C$41,$A10,Aforo!$D$2:$D$41,$B10)+SUMIFS(Aforo!$I$2:$I$41,Aforo!$C$2:$C$41,$A10,Aforo!$D$2:$D$41,$B10))/D10)</f>
        <v/>
      </c>
      <c r="G10" s="18" t="str">
        <f aca="false">IF(D10=0,"",(SUMIFS(Aforo!$J$2:$J$41,Aforo!$C$2:$C$41,$A10,Aforo!$D$2:$D$41,$B10)+SUMIFS(Aforo!$K$2:$K$41,Aforo!$C$2:$C$41,$A10,Aforo!$D$2:$D$41,$B10))/D10)</f>
        <v/>
      </c>
      <c r="H10" s="18" t="str">
        <f aca="false">IF(D10=0,"",(SUMIFS(Aforo!$L$2:$L$41,Aforo!$C$2:$C$41,$A10,Aforo!$D$2:$D$41,$B10)+SUMIFS(Aforo!$M$2:$M$41,Aforo!$C$2:$C$41,$A10,Aforo!$D$2:$D$41,$B10))/D10)</f>
        <v/>
      </c>
      <c r="I10" s="18" t="str">
        <f aca="false">IF(D10=0,"",(SUMIFS(Aforo!$N$2:$N$41,Aforo!$C$2:$C$41,$A10,Aforo!$D$2:$D$41,$B10)+SUMIFS(Aforo!$O$2:$O$41,Aforo!$C$2:$C$41,$A10,Aforo!$D$2:$D$41,$B10))/D10)</f>
        <v/>
      </c>
      <c r="J10" s="18" t="str">
        <f aca="false">IF(D10=0,"",(SUMIFS(Aforo!$H$2:$H$41,Aforo!$C$2:$C$41,$A10,Aforo!$D$2:$D$41,$B10)+SUMIFS(Aforo!$J$2:$J$41,Aforo!$C$2:$C$41,$A10,Aforo!$D$2:$D$41,$B10)+SUMIFS(Aforo!$L$2:$L$41,Aforo!$C$2:$C$41,$A10,Aforo!$D$2:$D$41,$B10)+SUMIFS(Aforo!$N$2:$N$41,Aforo!$C$2:$C$41,$A10,Aforo!$D$2:$D$41,$B10))/D10)</f>
        <v/>
      </c>
      <c r="K10" s="18" t="str">
        <f aca="false">IF(D10=0,"",(SUMIFS(Aforo!$I$2:$I$41,Aforo!$C$2:$C$41,$A10,Aforo!$D$2:$D$41,$B10)+SUMIFS(Aforo!$K$2:$K$41,Aforo!$C$2:$C$41,$A10,Aforo!$D$2:$D$41,$B10)+SUMIFS(Aforo!$M$2:$M$41,Aforo!$C$2:$C$41,$A10,Aforo!$D$2:$D$41,$B10)+SUMIFS(Aforo!$O$2:$O$41,Aforo!$C$2:$C$41,$A10,Aforo!$D$2:$D$41,$B10))/D10)</f>
        <v/>
      </c>
    </row>
    <row r="11" customFormat="false" ht="15" hidden="false" customHeight="false" outlineLevel="0" collapsed="false">
      <c r="A11" s="12" t="s">
        <v>71</v>
      </c>
      <c r="B11" s="12" t="s">
        <v>68</v>
      </c>
      <c r="C11" s="9" t="n">
        <f aca="false">SUMIFS(Aforo!$G$2:$G$41,Aforo!$C$2:$C$41,$A11,Aforo!$D$2:$D$41,$B11)</f>
        <v>0</v>
      </c>
      <c r="D11" s="9" t="n">
        <f aca="false">SUMIFS(Aforo!$P$2:$P$41,Aforo!$C$2:$C$41,$A11,Aforo!$D$2:$D$41,$B11)</f>
        <v>0</v>
      </c>
      <c r="E11" s="17" t="str">
        <f aca="false">IF(C11=0,"",D11/C11*60)</f>
        <v/>
      </c>
      <c r="F11" s="18" t="str">
        <f aca="false">IF(D11=0,"",(SUMIFS(Aforo!$H$2:$H$41,Aforo!$C$2:$C$41,$A11,Aforo!$D$2:$D$41,$B11)+SUMIFS(Aforo!$I$2:$I$41,Aforo!$C$2:$C$41,$A11,Aforo!$D$2:$D$41,$B11))/D11)</f>
        <v/>
      </c>
      <c r="G11" s="18" t="str">
        <f aca="false">IF(D11=0,"",(SUMIFS(Aforo!$J$2:$J$41,Aforo!$C$2:$C$41,$A11,Aforo!$D$2:$D$41,$B11)+SUMIFS(Aforo!$K$2:$K$41,Aforo!$C$2:$C$41,$A11,Aforo!$D$2:$D$41,$B11))/D11)</f>
        <v/>
      </c>
      <c r="H11" s="18" t="str">
        <f aca="false">IF(D11=0,"",(SUMIFS(Aforo!$L$2:$L$41,Aforo!$C$2:$C$41,$A11,Aforo!$D$2:$D$41,$B11)+SUMIFS(Aforo!$M$2:$M$41,Aforo!$C$2:$C$41,$A11,Aforo!$D$2:$D$41,$B11))/D11)</f>
        <v/>
      </c>
      <c r="I11" s="18" t="str">
        <f aca="false">IF(D11=0,"",(SUMIFS(Aforo!$N$2:$N$41,Aforo!$C$2:$C$41,$A11,Aforo!$D$2:$D$41,$B11)+SUMIFS(Aforo!$O$2:$O$41,Aforo!$C$2:$C$41,$A11,Aforo!$D$2:$D$41,$B11))/D11)</f>
        <v/>
      </c>
      <c r="J11" s="18" t="str">
        <f aca="false">IF(D11=0,"",(SUMIFS(Aforo!$H$2:$H$41,Aforo!$C$2:$C$41,$A11,Aforo!$D$2:$D$41,$B11)+SUMIFS(Aforo!$J$2:$J$41,Aforo!$C$2:$C$41,$A11,Aforo!$D$2:$D$41,$B11)+SUMIFS(Aforo!$L$2:$L$41,Aforo!$C$2:$C$41,$A11,Aforo!$D$2:$D$41,$B11)+SUMIFS(Aforo!$N$2:$N$41,Aforo!$C$2:$C$41,$A11,Aforo!$D$2:$D$41,$B11))/D11)</f>
        <v/>
      </c>
      <c r="K11" s="18" t="str">
        <f aca="false">IF(D11=0,"",(SUMIFS(Aforo!$I$2:$I$41,Aforo!$C$2:$C$41,$A11,Aforo!$D$2:$D$41,$B11)+SUMIFS(Aforo!$K$2:$K$41,Aforo!$C$2:$C$41,$A11,Aforo!$D$2:$D$41,$B11)+SUMIFS(Aforo!$M$2:$M$41,Aforo!$C$2:$C$41,$A11,Aforo!$D$2:$D$41,$B11)+SUMIFS(Aforo!$O$2:$O$41,Aforo!$C$2:$C$41,$A11,Aforo!$D$2:$D$41,$B11))/D11)</f>
        <v/>
      </c>
    </row>
    <row r="13" customFormat="false" ht="15" hidden="false" customHeight="false" outlineLevel="0" collapsed="false">
      <c r="A13" s="1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55"/>
  </cols>
  <sheetData>
    <row r="1" customFormat="false" ht="16.15" hidden="false" customHeight="false" outlineLevel="0" collapsed="false">
      <c r="A1" s="19" t="s">
        <v>73</v>
      </c>
    </row>
    <row r="3" customFormat="false" ht="15" hidden="false" customHeight="false" outlineLevel="0" collapsed="false">
      <c r="A3" s="11" t="s">
        <v>74</v>
      </c>
      <c r="B3" s="20"/>
      <c r="C3" s="20"/>
    </row>
    <row r="4" customFormat="false" ht="15" hidden="false" customHeight="false" outlineLevel="0" collapsed="false">
      <c r="A4" s="11" t="s">
        <v>75</v>
      </c>
      <c r="B4" s="20"/>
      <c r="C4" s="20"/>
    </row>
    <row r="5" customFormat="false" ht="15" hidden="false" customHeight="false" outlineLevel="0" collapsed="false">
      <c r="A5" s="11" t="s">
        <v>76</v>
      </c>
      <c r="B5" s="20"/>
      <c r="C5" s="20"/>
    </row>
    <row r="6" customFormat="false" ht="15" hidden="false" customHeight="false" outlineLevel="0" collapsed="false">
      <c r="A6" s="11" t="s">
        <v>77</v>
      </c>
      <c r="B6" s="20"/>
      <c r="C6" s="20"/>
    </row>
    <row r="7" customFormat="false" ht="15" hidden="false" customHeight="false" outlineLevel="0" collapsed="false">
      <c r="A7" s="11" t="s">
        <v>78</v>
      </c>
      <c r="B7" s="20"/>
      <c r="C7" s="20"/>
    </row>
    <row r="8" customFormat="false" ht="15" hidden="false" customHeight="false" outlineLevel="0" collapsed="false">
      <c r="A8" s="11" t="s">
        <v>79</v>
      </c>
      <c r="B8" s="20"/>
      <c r="C8" s="20"/>
    </row>
    <row r="10" customFormat="false" ht="15" hidden="false" customHeight="false" outlineLevel="0" collapsed="false">
      <c r="A10" s="21" t="s">
        <v>80</v>
      </c>
      <c r="B10" s="22" t="s">
        <v>81</v>
      </c>
      <c r="C10" s="22" t="s">
        <v>82</v>
      </c>
    </row>
    <row r="11" customFormat="false" ht="90" hidden="false" customHeight="true" outlineLevel="0" collapsed="false">
      <c r="A11" s="23" t="s">
        <v>83</v>
      </c>
      <c r="B11" s="24"/>
      <c r="C11" s="24"/>
    </row>
    <row r="12" customFormat="false" ht="90" hidden="false" customHeight="true" outlineLevel="0" collapsed="false">
      <c r="A12" s="23" t="s">
        <v>84</v>
      </c>
      <c r="B12" s="24"/>
      <c r="C12" s="24"/>
    </row>
    <row r="13" customFormat="false" ht="90" hidden="false" customHeight="true" outlineLevel="0" collapsed="false">
      <c r="A13" s="23" t="s">
        <v>85</v>
      </c>
      <c r="B13" s="24"/>
      <c r="C13" s="24"/>
    </row>
    <row r="14" customFormat="false" ht="90" hidden="false" customHeight="true" outlineLevel="0" collapsed="false">
      <c r="A14" s="23" t="s">
        <v>86</v>
      </c>
      <c r="B14" s="24"/>
      <c r="C14" s="24"/>
    </row>
    <row r="16" customFormat="false" ht="15" hidden="false" customHeight="false" outlineLevel="0" collapsed="false">
      <c r="A16" s="11" t="s">
        <v>87</v>
      </c>
      <c r="B16" s="25"/>
      <c r="C16" s="25"/>
    </row>
    <row r="17" customFormat="false" ht="15" hidden="false" customHeight="false" outlineLevel="0" collapsed="false">
      <c r="B17" s="25"/>
      <c r="C17" s="25"/>
    </row>
    <row r="18" customFormat="false" ht="15" hidden="false" customHeight="false" outlineLevel="0" collapsed="false">
      <c r="B18" s="25"/>
      <c r="C18" s="25"/>
    </row>
    <row r="20" customFormat="false" ht="15" hidden="false" customHeight="false" outlineLevel="0" collapsed="false">
      <c r="A20" s="15" t="s">
        <v>88</v>
      </c>
    </row>
  </sheetData>
  <mergeCells count="7">
    <mergeCell ref="B3:C3"/>
    <mergeCell ref="B4:C4"/>
    <mergeCell ref="B5:C5"/>
    <mergeCell ref="B6:C6"/>
    <mergeCell ref="B7:C7"/>
    <mergeCell ref="B8:C8"/>
    <mergeCell ref="B16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2026-10-05T23:49:56Z</dcterms:created>
  <dc:creator>openpyxl</dc:creator>
  <dc:description/>
  <dc:language>en-US</dc:language>
  <cp:lastModifiedBy/>
  <dcterms:modified xsi:type="dcterms:W3CDTF">2026-10-05T23:49:56Z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